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dc\GSP Financial Docs\FEBRUARY 2026\"/>
    </mc:Choice>
  </mc:AlternateContent>
  <xr:revisionPtr revIDLastSave="0" documentId="13_ncr:1_{E5F4222E-53E8-47B3-A615-E71DA300E665}" xr6:coauthVersionLast="45" xr6:coauthVersionMax="45" xr10:uidLastSave="{00000000-0000-0000-0000-000000000000}"/>
  <bookViews>
    <workbookView xWindow="-120" yWindow="-120" windowWidth="29040" windowHeight="15720" activeTab="2" xr2:uid="{4272B628-44F9-42D2-95C1-C04C300CC0D6}"/>
  </bookViews>
  <sheets>
    <sheet name="024" sheetId="1" r:id="rId1"/>
    <sheet name="024 - sd" sheetId="2" r:id="rId2"/>
    <sheet name="025" sheetId="4" r:id="rId3"/>
    <sheet name="025 - s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4" i="3" l="1"/>
  <c r="G34" i="3"/>
  <c r="F34" i="3"/>
  <c r="E34" i="3"/>
  <c r="F37" i="4" l="1"/>
  <c r="D35" i="3" l="1"/>
  <c r="F37" i="1"/>
  <c r="D38" i="2"/>
</calcChain>
</file>

<file path=xl/sharedStrings.xml><?xml version="1.0" encoding="utf-8"?>
<sst xmlns="http://schemas.openxmlformats.org/spreadsheetml/2006/main" count="163" uniqueCount="100">
  <si>
    <t>GIRL SCOUTS OF THE PHILIPPINES</t>
  </si>
  <si>
    <t>Ilocos Sur Girl Scout Council</t>
  </si>
  <si>
    <t>Vigan City</t>
  </si>
  <si>
    <t xml:space="preserve"> JOURNAL VOUCHER</t>
  </si>
  <si>
    <t>JV No.</t>
  </si>
  <si>
    <t>DV No.</t>
  </si>
  <si>
    <t>Date :</t>
  </si>
  <si>
    <t>PARTICULARS</t>
  </si>
  <si>
    <t>AMOUNT</t>
  </si>
  <si>
    <t>Account</t>
  </si>
  <si>
    <t>Debit</t>
  </si>
  <si>
    <t>Credit</t>
  </si>
  <si>
    <t>TOTAL AMOUNT SPENT</t>
  </si>
  <si>
    <t xml:space="preserve">AMOUNT OF CASH ADVANCE </t>
  </si>
  <si>
    <t>DATED</t>
  </si>
  <si>
    <t>AMOUNT TO BE REIMBURSED</t>
  </si>
  <si>
    <t>PREPARED BY:</t>
  </si>
  <si>
    <t>CERTIFIED CORRECT:</t>
  </si>
  <si>
    <t>VERIFIED CORRECT:</t>
  </si>
  <si>
    <t>ANA MARIE THERESE R. DEL CASTILLO</t>
  </si>
  <si>
    <t>RONAMY ROSARIO-ABLOG</t>
  </si>
  <si>
    <t>ROSITA P. RIALUBIN</t>
  </si>
  <si>
    <t>Accounting Clerk</t>
  </si>
  <si>
    <t>Council Executive</t>
  </si>
  <si>
    <t>Council Auditor</t>
  </si>
  <si>
    <t>RECOMMENDING APPROVAL:</t>
  </si>
  <si>
    <t>APPROVED BY:</t>
  </si>
  <si>
    <t>MARIANNE R. FLORENDO</t>
  </si>
  <si>
    <t>EVA MARIE S. MEDINA</t>
  </si>
  <si>
    <t>Council Treasurer</t>
  </si>
  <si>
    <t>Council President</t>
  </si>
  <si>
    <t>ILOCOS SUR COUNCIL</t>
  </si>
  <si>
    <t>SUMMARY OF EXPENSES</t>
  </si>
  <si>
    <t>DATE</t>
  </si>
  <si>
    <t xml:space="preserve">OR NO. </t>
  </si>
  <si>
    <t>Meals and Snacks</t>
  </si>
  <si>
    <t>TOTAL</t>
  </si>
  <si>
    <t>CHECKED BY:</t>
  </si>
  <si>
    <t>NOTED BY:</t>
  </si>
  <si>
    <r>
      <t xml:space="preserve">Liquidation of Cash Advance for the Executive Committee Meeting held on February 12, 2026 at the GSP Headquarters, Vigan City - </t>
    </r>
    <r>
      <rPr>
        <b/>
        <sz val="10.5"/>
        <rFont val="Arial"/>
        <family val="2"/>
      </rPr>
      <t>CV No. 203661</t>
    </r>
    <r>
      <rPr>
        <b/>
        <i/>
        <sz val="10.5"/>
        <rFont val="Arial"/>
        <family val="2"/>
      </rPr>
      <t xml:space="preserve"> (Charged to CONFERENCES AND MEETINGS)</t>
    </r>
  </si>
  <si>
    <t>Market for Meals</t>
  </si>
  <si>
    <t>4 pcs. Liempo</t>
  </si>
  <si>
    <t>3572</t>
  </si>
  <si>
    <t>Watermelon</t>
  </si>
  <si>
    <t>Ice Cubes, Coke and Coffee</t>
  </si>
  <si>
    <t>293284</t>
  </si>
  <si>
    <t>6054</t>
  </si>
  <si>
    <t>7 pcs. Chicken and 2 pcs. Burger Steak</t>
  </si>
  <si>
    <t>2 Lechon Manok</t>
  </si>
  <si>
    <t>679134</t>
  </si>
  <si>
    <t>Coke</t>
  </si>
  <si>
    <t>278378</t>
  </si>
  <si>
    <t>1 Tray Pancit Guisado</t>
  </si>
  <si>
    <t>5356</t>
  </si>
  <si>
    <t>February 10, 2026</t>
  </si>
  <si>
    <t>2026 - 02 - 024</t>
  </si>
  <si>
    <t>2026 - 02 - 203661</t>
  </si>
  <si>
    <t xml:space="preserve">Liquidation of Cash Advance for the Executive </t>
  </si>
  <si>
    <t xml:space="preserve">Committee Meeting held on February 12, 2026 at </t>
  </si>
  <si>
    <t>the GSP Headquarters, Vigan City</t>
  </si>
  <si>
    <t>Conferences and Meetings - Meals and Snacks</t>
  </si>
  <si>
    <t>Cash Advance</t>
  </si>
  <si>
    <t>Cash ( SI No. 18935)</t>
  </si>
  <si>
    <r>
      <t xml:space="preserve">AMOUNT REFUNDED PER OR. NO. </t>
    </r>
    <r>
      <rPr>
        <b/>
        <u/>
        <sz val="10"/>
        <color theme="1"/>
        <rFont val="Arial"/>
        <family val="2"/>
      </rPr>
      <t>18935</t>
    </r>
  </si>
  <si>
    <t>February 13, 2026</t>
  </si>
  <si>
    <t>Honorarium of Trainers</t>
  </si>
  <si>
    <t>Gifts and Tokens</t>
  </si>
  <si>
    <t>Program Materials</t>
  </si>
  <si>
    <t>Market for Lunch</t>
  </si>
  <si>
    <t>Vegetables</t>
  </si>
  <si>
    <t>2 Boxes of Bibingka</t>
  </si>
  <si>
    <t>14802</t>
  </si>
  <si>
    <t>Pansit</t>
  </si>
  <si>
    <t>5465</t>
  </si>
  <si>
    <t>3 Lechon Manok</t>
  </si>
  <si>
    <t>6081</t>
  </si>
  <si>
    <t>Coffee</t>
  </si>
  <si>
    <t>273734</t>
  </si>
  <si>
    <t>Softdrinks</t>
  </si>
  <si>
    <t>295431</t>
  </si>
  <si>
    <t>2 Boxes of Cookies</t>
  </si>
  <si>
    <t>Flowers</t>
  </si>
  <si>
    <t>14952</t>
  </si>
  <si>
    <t>2026 - 02 - 025</t>
  </si>
  <si>
    <t>2026 - 02 - 203675</t>
  </si>
  <si>
    <t xml:space="preserve">Liquidation of Cash Advance for the Council </t>
  </si>
  <si>
    <t xml:space="preserve">Board and Standing Committee Training last </t>
  </si>
  <si>
    <t>February 22, 2026 at the GSP Ilocos Sur</t>
  </si>
  <si>
    <t>Headquarters.</t>
  </si>
  <si>
    <t>Trainings - Meals and Snacks</t>
  </si>
  <si>
    <t>Trainings - Program Materials</t>
  </si>
  <si>
    <t>Trainings - Gifts and Tokens</t>
  </si>
  <si>
    <t>Trainings - Honorarium of Trainers</t>
  </si>
  <si>
    <t>February 19, 2026</t>
  </si>
  <si>
    <r>
      <t xml:space="preserve">Liquidation of Cash Advance for the Council Board and Standing Committee Training held on February 22, 2026 at the GSP Headquarters, Vigan City - </t>
    </r>
    <r>
      <rPr>
        <b/>
        <sz val="10.5"/>
        <rFont val="Arial"/>
        <family val="2"/>
      </rPr>
      <t>CV No. 203675</t>
    </r>
    <r>
      <rPr>
        <b/>
        <i/>
        <sz val="10.5"/>
        <rFont val="Arial"/>
        <family val="2"/>
      </rPr>
      <t xml:space="preserve"> (Charged to TRAININGS)</t>
    </r>
  </si>
  <si>
    <t>2.5kg Meat</t>
  </si>
  <si>
    <t>2kg Bagnet</t>
  </si>
  <si>
    <t>Cash ( SI No. 18946)</t>
  </si>
  <si>
    <r>
      <t xml:space="preserve">AMOUNT REFUNDED PER OR. NO. </t>
    </r>
    <r>
      <rPr>
        <b/>
        <u/>
        <sz val="10"/>
        <color theme="1"/>
        <rFont val="Arial"/>
        <family val="2"/>
      </rPr>
      <t>18946</t>
    </r>
  </si>
  <si>
    <t>February 25,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</si>
</sst>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3409]dd\-mmm\-yy;@"/>
    <numFmt numFmtId="165" formatCode="&quot;₱&quot;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i/>
      <sz val="11"/>
      <color theme="1"/>
      <name val="Arial"/>
      <family val="2"/>
    </font>
    <font>
      <b/>
      <sz val="10"/>
      <color theme="1"/>
      <name val="Arial"/>
      <family val="2"/>
    </font>
    <font>
      <b/>
      <u/>
      <sz val="8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i/>
      <sz val="10.5"/>
      <name val="Arial"/>
      <family val="2"/>
    </font>
    <font>
      <sz val="10"/>
      <color theme="1"/>
      <name val="Calibri"/>
      <family val="2"/>
      <scheme val="minor"/>
    </font>
    <font>
      <b/>
      <u val="double"/>
      <sz val="11"/>
      <name val="Arial"/>
      <family val="2"/>
    </font>
    <font>
      <b/>
      <sz val="12"/>
      <name val="Arial"/>
      <family val="2"/>
    </font>
    <font>
      <b/>
      <u val="double"/>
      <sz val="12"/>
      <name val="Arial"/>
      <family val="2"/>
    </font>
    <font>
      <b/>
      <u/>
      <sz val="11"/>
      <name val="Arial"/>
      <family val="2"/>
    </font>
    <font>
      <b/>
      <sz val="10.5"/>
      <name val="Arial"/>
      <family val="2"/>
    </font>
    <font>
      <sz val="10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3" fillId="0" borderId="0" xfId="0" applyFont="1"/>
    <xf numFmtId="0" fontId="3" fillId="0" borderId="5" xfId="0" applyFont="1" applyBorder="1"/>
    <xf numFmtId="0" fontId="4" fillId="0" borderId="0" xfId="0" applyFont="1"/>
    <xf numFmtId="0" fontId="7" fillId="0" borderId="0" xfId="0" applyFont="1" applyAlignment="1">
      <alignment vertical="center"/>
    </xf>
    <xf numFmtId="0" fontId="4" fillId="0" borderId="14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vertical="center"/>
    </xf>
    <xf numFmtId="0" fontId="8" fillId="0" borderId="0" xfId="0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7" fillId="0" borderId="14" xfId="0" applyFont="1" applyBorder="1" applyAlignment="1">
      <alignment horizontal="center"/>
    </xf>
    <xf numFmtId="0" fontId="2" fillId="0" borderId="11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2" xfId="0" applyFont="1" applyBorder="1"/>
    <xf numFmtId="0" fontId="5" fillId="0" borderId="11" xfId="0" applyFont="1" applyBorder="1"/>
    <xf numFmtId="0" fontId="2" fillId="0" borderId="13" xfId="0" applyFont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4" xfId="0" applyFont="1" applyBorder="1"/>
    <xf numFmtId="0" fontId="10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10" fillId="0" borderId="9" xfId="0" applyFont="1" applyBorder="1"/>
    <xf numFmtId="0" fontId="2" fillId="0" borderId="15" xfId="0" applyFont="1" applyBorder="1"/>
    <xf numFmtId="0" fontId="11" fillId="0" borderId="4" xfId="0" applyFont="1" applyBorder="1"/>
    <xf numFmtId="0" fontId="12" fillId="0" borderId="5" xfId="0" applyFont="1" applyBorder="1"/>
    <xf numFmtId="0" fontId="13" fillId="0" borderId="1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4" fontId="15" fillId="0" borderId="1" xfId="0" applyNumberFormat="1" applyFont="1" applyBorder="1" applyAlignment="1">
      <alignment horizontal="left"/>
    </xf>
    <xf numFmtId="0" fontId="16" fillId="0" borderId="2" xfId="0" applyFont="1" applyBorder="1"/>
    <xf numFmtId="49" fontId="4" fillId="0" borderId="2" xfId="0" applyNumberFormat="1" applyFont="1" applyBorder="1" applyAlignment="1">
      <alignment horizontal="center"/>
    </xf>
    <xf numFmtId="43" fontId="16" fillId="0" borderId="3" xfId="1" applyFont="1" applyBorder="1"/>
    <xf numFmtId="164" fontId="15" fillId="0" borderId="4" xfId="0" applyNumberFormat="1" applyFont="1" applyBorder="1" applyAlignment="1">
      <alignment horizontal="left"/>
    </xf>
    <xf numFmtId="0" fontId="16" fillId="0" borderId="0" xfId="0" applyFont="1"/>
    <xf numFmtId="49" fontId="4" fillId="0" borderId="0" xfId="0" applyNumberFormat="1" applyFont="1" applyAlignment="1">
      <alignment horizontal="center"/>
    </xf>
    <xf numFmtId="43" fontId="16" fillId="0" borderId="5" xfId="1" applyFont="1" applyBorder="1"/>
    <xf numFmtId="0" fontId="19" fillId="0" borderId="0" xfId="0" applyFont="1"/>
    <xf numFmtId="164" fontId="15" fillId="0" borderId="10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16" fillId="0" borderId="2" xfId="0" applyNumberFormat="1" applyFont="1" applyBorder="1" applyAlignment="1">
      <alignment horizontal="center"/>
    </xf>
    <xf numFmtId="165" fontId="16" fillId="0" borderId="3" xfId="1" applyNumberFormat="1" applyFont="1" applyBorder="1"/>
    <xf numFmtId="49" fontId="16" fillId="0" borderId="0" xfId="0" applyNumberFormat="1" applyFont="1" applyAlignment="1">
      <alignment horizontal="center"/>
    </xf>
    <xf numFmtId="165" fontId="16" fillId="0" borderId="5" xfId="1" applyNumberFormat="1" applyFont="1" applyBorder="1"/>
    <xf numFmtId="165" fontId="15" fillId="0" borderId="5" xfId="1" applyNumberFormat="1" applyFont="1" applyBorder="1"/>
    <xf numFmtId="165" fontId="20" fillId="0" borderId="5" xfId="1" applyNumberFormat="1" applyFont="1" applyBorder="1" applyAlignment="1"/>
    <xf numFmtId="165" fontId="16" fillId="0" borderId="5" xfId="1" applyNumberFormat="1" applyFont="1" applyBorder="1" applyAlignment="1"/>
    <xf numFmtId="165" fontId="22" fillId="0" borderId="5" xfId="1" applyNumberFormat="1" applyFont="1" applyBorder="1" applyAlignment="1"/>
    <xf numFmtId="164" fontId="15" fillId="0" borderId="6" xfId="0" applyNumberFormat="1" applyFont="1" applyBorder="1" applyAlignment="1">
      <alignment horizontal="left"/>
    </xf>
    <xf numFmtId="0" fontId="16" fillId="0" borderId="7" xfId="0" applyFont="1" applyBorder="1"/>
    <xf numFmtId="49" fontId="15" fillId="0" borderId="7" xfId="0" applyNumberFormat="1" applyFont="1" applyBorder="1" applyAlignment="1">
      <alignment horizontal="center"/>
    </xf>
    <xf numFmtId="165" fontId="15" fillId="0" borderId="8" xfId="1" applyNumberFormat="1" applyFont="1" applyBorder="1"/>
    <xf numFmtId="164" fontId="10" fillId="0" borderId="1" xfId="0" applyNumberFormat="1" applyFont="1" applyBorder="1"/>
    <xf numFmtId="0" fontId="10" fillId="0" borderId="2" xfId="0" applyFont="1" applyBorder="1"/>
    <xf numFmtId="164" fontId="2" fillId="0" borderId="4" xfId="0" applyNumberFormat="1" applyFont="1" applyBorder="1"/>
    <xf numFmtId="164" fontId="15" fillId="0" borderId="0" xfId="0" applyNumberFormat="1" applyFont="1" applyAlignment="1">
      <alignment horizontal="left"/>
    </xf>
    <xf numFmtId="43" fontId="16" fillId="0" borderId="0" xfId="1" applyFont="1"/>
    <xf numFmtId="0" fontId="16" fillId="0" borderId="0" xfId="0" applyFont="1" applyAlignment="1">
      <alignment horizontal="center"/>
    </xf>
    <xf numFmtId="0" fontId="16" fillId="0" borderId="0" xfId="0" applyFont="1" applyBorder="1"/>
    <xf numFmtId="49" fontId="16" fillId="0" borderId="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25" fillId="0" borderId="0" xfId="0" applyFont="1" applyBorder="1"/>
    <xf numFmtId="49" fontId="15" fillId="0" borderId="0" xfId="0" applyNumberFormat="1" applyFont="1" applyBorder="1" applyAlignment="1">
      <alignment horizontal="center"/>
    </xf>
    <xf numFmtId="49" fontId="21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4" fillId="0" borderId="8" xfId="0" applyFont="1" applyBorder="1"/>
    <xf numFmtId="43" fontId="7" fillId="0" borderId="13" xfId="1" applyFont="1" applyBorder="1" applyAlignment="1">
      <alignment horizontal="center"/>
    </xf>
    <xf numFmtId="43" fontId="7" fillId="0" borderId="7" xfId="1" applyFont="1" applyBorder="1" applyAlignment="1">
      <alignment horizontal="center"/>
    </xf>
    <xf numFmtId="0" fontId="7" fillId="0" borderId="4" xfId="0" applyFont="1" applyBorder="1"/>
    <xf numFmtId="0" fontId="4" fillId="0" borderId="13" xfId="0" applyFont="1" applyBorder="1"/>
    <xf numFmtId="0" fontId="4" fillId="0" borderId="5" xfId="0" applyFont="1" applyBorder="1"/>
    <xf numFmtId="43" fontId="27" fillId="0" borderId="5" xfId="1" applyFont="1" applyBorder="1"/>
    <xf numFmtId="43" fontId="9" fillId="0" borderId="5" xfId="1" applyFont="1" applyBorder="1"/>
    <xf numFmtId="0" fontId="5" fillId="0" borderId="13" xfId="0" applyFont="1" applyBorder="1"/>
    <xf numFmtId="43" fontId="5" fillId="0" borderId="14" xfId="1" applyFont="1" applyBorder="1"/>
    <xf numFmtId="43" fontId="28" fillId="0" borderId="14" xfId="1" applyFont="1" applyBorder="1"/>
    <xf numFmtId="0" fontId="4" fillId="0" borderId="12" xfId="0" applyFont="1" applyBorder="1"/>
    <xf numFmtId="0" fontId="3" fillId="0" borderId="0" xfId="0" applyFont="1" applyBorder="1"/>
    <xf numFmtId="0" fontId="9" fillId="0" borderId="0" xfId="0" applyFont="1" applyBorder="1"/>
    <xf numFmtId="0" fontId="4" fillId="0" borderId="0" xfId="0" applyFont="1" applyBorder="1"/>
    <xf numFmtId="43" fontId="4" fillId="0" borderId="0" xfId="1" applyFont="1" applyBorder="1"/>
    <xf numFmtId="0" fontId="26" fillId="0" borderId="0" xfId="0" applyFont="1" applyBorder="1"/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2" fillId="0" borderId="0" xfId="0" applyFont="1" applyBorder="1"/>
    <xf numFmtId="43" fontId="4" fillId="0" borderId="2" xfId="1" applyFont="1" applyBorder="1" applyAlignment="1">
      <alignment horizontal="center"/>
    </xf>
    <xf numFmtId="43" fontId="0" fillId="0" borderId="0" xfId="1" applyFont="1"/>
    <xf numFmtId="43" fontId="4" fillId="0" borderId="0" xfId="1" applyFont="1" applyBorder="1" applyAlignment="1">
      <alignment horizontal="center"/>
    </xf>
    <xf numFmtId="43" fontId="19" fillId="0" borderId="0" xfId="1" applyFont="1"/>
    <xf numFmtId="43" fontId="0" fillId="0" borderId="0" xfId="1" applyFont="1" applyAlignment="1">
      <alignment vertical="center"/>
    </xf>
    <xf numFmtId="43" fontId="16" fillId="0" borderId="2" xfId="1" applyFont="1" applyBorder="1" applyAlignment="1">
      <alignment horizontal="center"/>
    </xf>
    <xf numFmtId="43" fontId="16" fillId="0" borderId="0" xfId="1" applyFont="1" applyBorder="1" applyAlignment="1">
      <alignment horizontal="center"/>
    </xf>
    <xf numFmtId="43" fontId="15" fillId="0" borderId="0" xfId="1" applyFont="1" applyBorder="1" applyAlignment="1">
      <alignment horizontal="center"/>
    </xf>
    <xf numFmtId="43" fontId="15" fillId="0" borderId="5" xfId="1" applyFont="1" applyBorder="1"/>
    <xf numFmtId="43" fontId="20" fillId="0" borderId="5" xfId="1" applyFont="1" applyBorder="1" applyAlignment="1"/>
    <xf numFmtId="43" fontId="21" fillId="0" borderId="0" xfId="1" applyFont="1" applyBorder="1" applyAlignment="1">
      <alignment horizontal="center"/>
    </xf>
    <xf numFmtId="43" fontId="22" fillId="0" borderId="5" xfId="1" applyFont="1" applyBorder="1" applyAlignment="1"/>
    <xf numFmtId="43" fontId="15" fillId="0" borderId="7" xfId="1" applyFont="1" applyBorder="1" applyAlignment="1">
      <alignment horizontal="center"/>
    </xf>
    <xf numFmtId="43" fontId="15" fillId="0" borderId="8" xfId="1" applyFont="1" applyBorder="1"/>
    <xf numFmtId="43" fontId="10" fillId="0" borderId="0" xfId="1" applyFont="1" applyBorder="1"/>
    <xf numFmtId="43" fontId="2" fillId="0" borderId="0" xfId="1" applyFont="1" applyBorder="1"/>
    <xf numFmtId="43" fontId="2" fillId="0" borderId="5" xfId="1" applyFont="1" applyBorder="1"/>
    <xf numFmtId="43" fontId="23" fillId="0" borderId="0" xfId="1" applyFont="1" applyAlignment="1">
      <alignment horizontal="center"/>
    </xf>
    <xf numFmtId="43" fontId="16" fillId="0" borderId="0" xfId="1" applyFont="1" applyAlignment="1">
      <alignment horizontal="center"/>
    </xf>
    <xf numFmtId="43" fontId="4" fillId="0" borderId="0" xfId="1" applyFont="1" applyAlignment="1">
      <alignment horizontal="center"/>
    </xf>
    <xf numFmtId="43" fontId="20" fillId="0" borderId="8" xfId="1" applyFont="1" applyBorder="1" applyAlignment="1"/>
    <xf numFmtId="165" fontId="4" fillId="0" borderId="0" xfId="1" applyNumberFormat="1" applyFont="1" applyAlignment="1">
      <alignment horizontal="center"/>
    </xf>
    <xf numFmtId="165" fontId="16" fillId="0" borderId="0" xfId="1" applyNumberFormat="1" applyFont="1" applyBorder="1" applyAlignment="1">
      <alignment horizontal="center"/>
    </xf>
    <xf numFmtId="165" fontId="16" fillId="0" borderId="3" xfId="1" applyNumberFormat="1" applyFont="1" applyBorder="1" applyAlignment="1">
      <alignment horizontal="center"/>
    </xf>
    <xf numFmtId="43" fontId="26" fillId="0" borderId="14" xfId="1" applyFont="1" applyBorder="1"/>
    <xf numFmtId="165" fontId="4" fillId="0" borderId="0" xfId="1" applyNumberFormat="1" applyFont="1" applyBorder="1" applyAlignment="1">
      <alignment horizontal="center"/>
    </xf>
    <xf numFmtId="165" fontId="15" fillId="0" borderId="0" xfId="1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43" fontId="28" fillId="0" borderId="14" xfId="1" applyFont="1" applyBorder="1" applyAlignment="1">
      <alignment horizontal="center"/>
    </xf>
    <xf numFmtId="43" fontId="2" fillId="0" borderId="11" xfId="1" applyFont="1" applyBorder="1" applyAlignment="1">
      <alignment horizontal="center"/>
    </xf>
    <xf numFmtId="43" fontId="2" fillId="0" borderId="12" xfId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0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3" fontId="17" fillId="0" borderId="11" xfId="1" applyFont="1" applyBorder="1" applyAlignment="1">
      <alignment horizontal="center" vertical="center"/>
    </xf>
    <xf numFmtId="43" fontId="17" fillId="0" borderId="13" xfId="1" applyFont="1" applyBorder="1" applyAlignment="1">
      <alignment horizontal="center" vertical="center"/>
    </xf>
    <xf numFmtId="43" fontId="17" fillId="0" borderId="12" xfId="1" applyFont="1" applyBorder="1" applyAlignment="1">
      <alignment horizontal="center" vertical="center"/>
    </xf>
    <xf numFmtId="43" fontId="18" fillId="0" borderId="11" xfId="1" applyFont="1" applyBorder="1" applyAlignment="1">
      <alignment horizontal="center" vertical="center" wrapText="1"/>
    </xf>
    <xf numFmtId="43" fontId="18" fillId="0" borderId="13" xfId="1" applyFont="1" applyBorder="1" applyAlignment="1">
      <alignment horizontal="center" vertical="center" wrapText="1"/>
    </xf>
    <xf numFmtId="43" fontId="18" fillId="0" borderId="12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495299</xdr:colOff>
      <xdr:row>0</xdr:row>
      <xdr:rowOff>0</xdr:rowOff>
    </xdr:from>
    <xdr:to>
      <xdr:col>5</xdr:col>
      <xdr:colOff>666749</xdr:colOff>
      <xdr:row>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E62661-269E-4E03-84E4-AD4A30D08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499" y="0"/>
          <a:ext cx="847725" cy="8477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1905000</xdr:colOff>
      <xdr:row>0</xdr:row>
      <xdr:rowOff>0</xdr:rowOff>
    </xdr:from>
    <xdr:to>
      <xdr:col>2</xdr:col>
      <xdr:colOff>304800</xdr:colOff>
      <xdr:row>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578686-56FD-40FF-8E82-362815EC7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0"/>
          <a:ext cx="866775" cy="866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581025</xdr:colOff>
      <xdr:row>0</xdr:row>
      <xdr:rowOff>0</xdr:rowOff>
    </xdr:from>
    <xdr:to>
      <xdr:col>6</xdr:col>
      <xdr:colOff>9525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39EB3F-5AE2-499B-9FB1-E7ADD95E9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0"/>
          <a:ext cx="866775" cy="866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0</xdr:rowOff>
    </xdr:from>
    <xdr:to>
      <xdr:col>3</xdr:col>
      <xdr:colOff>514350</xdr:colOff>
      <xdr:row>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DE3ABA-2296-477E-BAC8-D4F0AB58B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175" y="0"/>
          <a:ext cx="866775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4137-9734-4E5A-B3B7-EF1DF14F94C5}">
  <sheetPr>
    <pageSetUpPr fitToPage="1"/>
  </sheetPr>
  <dimension ref="A1:I49"/>
  <sheetViews>
    <sheetView workbookViewId="0">
      <selection activeCell="A6" sqref="A1:XFD1048576"/>
    </sheetView>
  </sheetViews>
  <sheetFormatPr defaultRowHeight="15" x14ac:dyDescent="0.2"/>
  <cols>
    <col min="1" max="1" width="9.140625" style="4"/>
    <col min="2" max="2" width="4.85546875" style="4" customWidth="1"/>
    <col min="3" max="3" width="7.5703125" style="4" customWidth="1"/>
    <col min="4" max="4" width="8.140625" style="4" customWidth="1"/>
    <col min="5" max="5" width="10.140625" style="4" customWidth="1"/>
    <col min="6" max="6" width="11.42578125" style="4" customWidth="1"/>
    <col min="7" max="7" width="13.42578125" style="4" customWidth="1"/>
    <col min="8" max="8" width="24.42578125" style="4" customWidth="1"/>
    <col min="9" max="9" width="15.7109375" style="4" customWidth="1"/>
    <col min="10" max="16384" width="9.140625" style="4"/>
  </cols>
  <sheetData>
    <row r="1" spans="1:9" x14ac:dyDescent="0.2">
      <c r="A1" s="1"/>
      <c r="B1" s="2"/>
      <c r="C1" s="2"/>
      <c r="D1" s="2"/>
      <c r="E1" s="2"/>
      <c r="F1" s="2"/>
      <c r="G1" s="2"/>
      <c r="H1" s="3"/>
    </row>
    <row r="2" spans="1:9" x14ac:dyDescent="0.2">
      <c r="A2" s="5"/>
      <c r="B2" s="77"/>
      <c r="C2" s="77"/>
      <c r="D2" s="77"/>
      <c r="E2" s="77"/>
      <c r="F2" s="77"/>
      <c r="G2" s="77"/>
      <c r="H2" s="6"/>
    </row>
    <row r="3" spans="1:9" x14ac:dyDescent="0.2">
      <c r="A3" s="5"/>
      <c r="B3" s="77"/>
      <c r="C3" s="77"/>
      <c r="D3" s="77"/>
      <c r="E3" s="77"/>
      <c r="F3" s="77"/>
      <c r="G3" s="77"/>
      <c r="H3" s="6"/>
    </row>
    <row r="4" spans="1:9" x14ac:dyDescent="0.2">
      <c r="A4" s="5"/>
      <c r="B4" s="77"/>
      <c r="C4" s="77"/>
      <c r="D4" s="90"/>
      <c r="E4" s="90"/>
      <c r="F4" s="90"/>
      <c r="G4" s="90"/>
      <c r="H4" s="8"/>
      <c r="I4" s="7"/>
    </row>
    <row r="5" spans="1:9" ht="15.75" customHeight="1" x14ac:dyDescent="0.2">
      <c r="A5" s="159" t="s">
        <v>0</v>
      </c>
      <c r="B5" s="160"/>
      <c r="C5" s="160"/>
      <c r="D5" s="160"/>
      <c r="E5" s="160"/>
      <c r="F5" s="160"/>
      <c r="G5" s="160"/>
      <c r="H5" s="161"/>
      <c r="I5" s="9"/>
    </row>
    <row r="6" spans="1:9" ht="15.75" customHeight="1" x14ac:dyDescent="0.2">
      <c r="A6" s="162" t="s">
        <v>1</v>
      </c>
      <c r="B6" s="163"/>
      <c r="C6" s="163"/>
      <c r="D6" s="163"/>
      <c r="E6" s="163"/>
      <c r="F6" s="163"/>
      <c r="G6" s="163"/>
      <c r="H6" s="164"/>
      <c r="I6" s="9"/>
    </row>
    <row r="7" spans="1:9" ht="15.75" customHeight="1" x14ac:dyDescent="0.2">
      <c r="A7" s="125" t="s">
        <v>2</v>
      </c>
      <c r="B7" s="126"/>
      <c r="C7" s="126"/>
      <c r="D7" s="126"/>
      <c r="E7" s="126"/>
      <c r="F7" s="126"/>
      <c r="G7" s="126"/>
      <c r="H7" s="127"/>
      <c r="I7" s="9"/>
    </row>
    <row r="8" spans="1:9" x14ac:dyDescent="0.2">
      <c r="A8" s="165" t="s">
        <v>3</v>
      </c>
      <c r="B8" s="166"/>
      <c r="C8" s="166"/>
      <c r="D8" s="166"/>
      <c r="E8" s="166"/>
      <c r="F8" s="167"/>
      <c r="G8" s="171" t="s">
        <v>4</v>
      </c>
      <c r="H8" s="173" t="s">
        <v>55</v>
      </c>
      <c r="I8" s="10"/>
    </row>
    <row r="9" spans="1:9" x14ac:dyDescent="0.2">
      <c r="A9" s="168"/>
      <c r="B9" s="169"/>
      <c r="C9" s="169"/>
      <c r="D9" s="169"/>
      <c r="E9" s="169"/>
      <c r="F9" s="170"/>
      <c r="G9" s="172"/>
      <c r="H9" s="174"/>
      <c r="I9" s="10"/>
    </row>
    <row r="10" spans="1:9" ht="30.75" customHeight="1" x14ac:dyDescent="0.2">
      <c r="A10" s="143" t="s">
        <v>5</v>
      </c>
      <c r="B10" s="144"/>
      <c r="C10" s="130" t="s">
        <v>56</v>
      </c>
      <c r="D10" s="131"/>
      <c r="E10" s="131"/>
      <c r="F10" s="132"/>
      <c r="G10" s="11" t="s">
        <v>6</v>
      </c>
      <c r="H10" s="12">
        <v>46066</v>
      </c>
      <c r="I10" s="13"/>
    </row>
    <row r="11" spans="1:9" ht="15.75" x14ac:dyDescent="0.25">
      <c r="A11" s="145" t="s">
        <v>7</v>
      </c>
      <c r="B11" s="146"/>
      <c r="C11" s="146"/>
      <c r="D11" s="146"/>
      <c r="E11" s="146"/>
      <c r="F11" s="146"/>
      <c r="G11" s="147" t="s">
        <v>8</v>
      </c>
      <c r="H11" s="148"/>
      <c r="I11" s="14"/>
    </row>
    <row r="12" spans="1:9" x14ac:dyDescent="0.2">
      <c r="A12" s="1"/>
      <c r="B12" s="2"/>
      <c r="C12" s="2"/>
      <c r="D12" s="2"/>
      <c r="E12" s="2"/>
      <c r="F12" s="3"/>
      <c r="G12" s="1"/>
      <c r="H12" s="3"/>
      <c r="I12" s="5"/>
    </row>
    <row r="13" spans="1:9" x14ac:dyDescent="0.2">
      <c r="A13" s="5"/>
      <c r="B13" s="77"/>
      <c r="C13" s="77"/>
      <c r="D13" s="77"/>
      <c r="E13" s="77"/>
      <c r="F13" s="6"/>
      <c r="G13" s="5"/>
      <c r="H13" s="6"/>
    </row>
    <row r="14" spans="1:9" ht="15.75" x14ac:dyDescent="0.25">
      <c r="A14" s="81" t="s">
        <v>57</v>
      </c>
      <c r="B14" s="77"/>
      <c r="C14" s="77"/>
      <c r="D14" s="77"/>
      <c r="E14" s="77"/>
      <c r="F14" s="6"/>
      <c r="G14" s="5"/>
      <c r="H14" s="6"/>
    </row>
    <row r="15" spans="1:9" ht="15.75" x14ac:dyDescent="0.25">
      <c r="A15" s="81" t="s">
        <v>58</v>
      </c>
      <c r="B15" s="77"/>
      <c r="C15" s="77"/>
      <c r="D15" s="77"/>
      <c r="E15" s="77"/>
      <c r="F15" s="6"/>
      <c r="G15" s="128">
        <v>7000</v>
      </c>
      <c r="H15" s="129"/>
    </row>
    <row r="16" spans="1:9" ht="15.75" x14ac:dyDescent="0.25">
      <c r="A16" s="81" t="s">
        <v>59</v>
      </c>
      <c r="B16" s="77"/>
      <c r="C16" s="77"/>
      <c r="D16" s="77"/>
      <c r="E16" s="77"/>
      <c r="F16" s="77"/>
      <c r="G16" s="5"/>
      <c r="H16" s="6"/>
    </row>
    <row r="17" spans="1:8" x14ac:dyDescent="0.2">
      <c r="A17" s="5"/>
      <c r="B17" s="91"/>
      <c r="C17" s="92"/>
      <c r="D17" s="92"/>
      <c r="E17" s="92"/>
      <c r="F17" s="83"/>
      <c r="G17" s="5"/>
      <c r="H17" s="6"/>
    </row>
    <row r="18" spans="1:8" x14ac:dyDescent="0.2">
      <c r="A18" s="5"/>
      <c r="B18" s="92"/>
      <c r="C18" s="92"/>
      <c r="D18" s="92"/>
      <c r="E18" s="92"/>
      <c r="F18" s="93"/>
      <c r="G18" s="5"/>
      <c r="H18" s="6"/>
    </row>
    <row r="19" spans="1:8" x14ac:dyDescent="0.2">
      <c r="A19" s="5"/>
      <c r="B19" s="92"/>
      <c r="C19" s="92"/>
      <c r="D19" s="92"/>
      <c r="E19" s="92"/>
      <c r="F19" s="84"/>
      <c r="G19" s="5"/>
      <c r="H19" s="6"/>
    </row>
    <row r="20" spans="1:8" x14ac:dyDescent="0.2">
      <c r="A20" s="5"/>
      <c r="B20" s="92"/>
      <c r="C20" s="94"/>
      <c r="D20" s="92"/>
      <c r="E20" s="92"/>
      <c r="F20" s="85"/>
      <c r="G20" s="5"/>
      <c r="H20" s="6"/>
    </row>
    <row r="21" spans="1:8" x14ac:dyDescent="0.2">
      <c r="A21" s="15"/>
      <c r="B21" s="16"/>
      <c r="C21" s="16"/>
      <c r="D21" s="16"/>
      <c r="E21" s="16"/>
      <c r="F21" s="17"/>
      <c r="G21" s="15"/>
      <c r="H21" s="17"/>
    </row>
    <row r="22" spans="1:8" ht="15.75" x14ac:dyDescent="0.25">
      <c r="A22" s="145" t="s">
        <v>9</v>
      </c>
      <c r="B22" s="149"/>
      <c r="C22" s="149"/>
      <c r="D22" s="149"/>
      <c r="E22" s="148"/>
      <c r="F22" s="150" t="s">
        <v>10</v>
      </c>
      <c r="G22" s="151"/>
      <c r="H22" s="18" t="s">
        <v>11</v>
      </c>
    </row>
    <row r="23" spans="1:8" x14ac:dyDescent="0.2">
      <c r="A23" s="28" t="s">
        <v>62</v>
      </c>
      <c r="B23" s="82"/>
      <c r="C23" s="20"/>
      <c r="D23" s="20"/>
      <c r="E23" s="20"/>
      <c r="F23" s="152">
        <v>1288.5</v>
      </c>
      <c r="G23" s="152"/>
      <c r="H23" s="87"/>
    </row>
    <row r="24" spans="1:8" x14ac:dyDescent="0.2">
      <c r="A24" s="23" t="s">
        <v>60</v>
      </c>
      <c r="B24" s="77"/>
      <c r="C24" s="20"/>
      <c r="D24" s="20"/>
      <c r="E24" s="20"/>
      <c r="F24" s="152">
        <v>5711.5</v>
      </c>
      <c r="G24" s="152"/>
      <c r="H24" s="87"/>
    </row>
    <row r="25" spans="1:8" x14ac:dyDescent="0.2">
      <c r="A25" s="19"/>
      <c r="B25" s="86" t="s">
        <v>61</v>
      </c>
      <c r="C25" s="20"/>
      <c r="D25" s="20"/>
      <c r="E25" s="20"/>
      <c r="F25" s="153"/>
      <c r="G25" s="154"/>
      <c r="H25" s="88">
        <v>7000</v>
      </c>
    </row>
    <row r="26" spans="1:8" x14ac:dyDescent="0.2">
      <c r="A26" s="19"/>
      <c r="B26" s="20"/>
      <c r="C26" s="20"/>
      <c r="D26" s="20"/>
      <c r="E26" s="20"/>
      <c r="F26" s="155"/>
      <c r="G26" s="156"/>
      <c r="H26" s="21"/>
    </row>
    <row r="27" spans="1:8" x14ac:dyDescent="0.2">
      <c r="A27" s="19"/>
      <c r="B27" s="20"/>
      <c r="C27" s="20"/>
      <c r="D27" s="20"/>
      <c r="E27" s="20"/>
      <c r="F27" s="157"/>
      <c r="G27" s="158"/>
      <c r="H27" s="21"/>
    </row>
    <row r="28" spans="1:8" x14ac:dyDescent="0.2">
      <c r="A28" s="19"/>
      <c r="B28" s="20"/>
      <c r="C28" s="20"/>
      <c r="D28" s="20"/>
      <c r="E28" s="20"/>
      <c r="F28" s="155"/>
      <c r="G28" s="156"/>
      <c r="H28" s="21"/>
    </row>
    <row r="29" spans="1:8" x14ac:dyDescent="0.2">
      <c r="A29" s="19"/>
      <c r="B29" s="20"/>
      <c r="C29" s="20"/>
      <c r="D29" s="20"/>
      <c r="E29" s="20"/>
      <c r="F29" s="139"/>
      <c r="G29" s="139"/>
      <c r="H29" s="21"/>
    </row>
    <row r="30" spans="1:8" x14ac:dyDescent="0.2">
      <c r="A30" s="19"/>
      <c r="B30" s="20"/>
      <c r="C30" s="20"/>
      <c r="D30" s="20"/>
      <c r="E30" s="20"/>
      <c r="F30" s="139"/>
      <c r="G30" s="139"/>
      <c r="H30" s="21"/>
    </row>
    <row r="31" spans="1:8" x14ac:dyDescent="0.2">
      <c r="A31" s="19"/>
      <c r="B31" s="20"/>
      <c r="C31" s="20"/>
      <c r="D31" s="20"/>
      <c r="E31" s="20"/>
      <c r="F31" s="139"/>
      <c r="G31" s="139"/>
      <c r="H31" s="21"/>
    </row>
    <row r="32" spans="1:8" x14ac:dyDescent="0.2">
      <c r="A32" s="19"/>
      <c r="B32" s="20"/>
      <c r="C32" s="20"/>
      <c r="D32" s="20"/>
      <c r="E32" s="22"/>
      <c r="F32" s="139"/>
      <c r="G32" s="139"/>
      <c r="H32" s="21"/>
    </row>
    <row r="33" spans="1:8" x14ac:dyDescent="0.2">
      <c r="A33" s="19"/>
      <c r="B33" s="20"/>
      <c r="C33" s="20"/>
      <c r="D33" s="20"/>
      <c r="E33" s="22"/>
      <c r="F33" s="139"/>
      <c r="G33" s="139"/>
      <c r="H33" s="21"/>
    </row>
    <row r="34" spans="1:8" x14ac:dyDescent="0.2">
      <c r="A34" s="15"/>
      <c r="B34" s="16"/>
      <c r="C34" s="16"/>
      <c r="D34" s="16"/>
      <c r="E34" s="16"/>
      <c r="F34" s="139"/>
      <c r="G34" s="139"/>
      <c r="H34" s="21"/>
    </row>
    <row r="35" spans="1:8" ht="15.75" x14ac:dyDescent="0.25">
      <c r="A35" s="23" t="s">
        <v>12</v>
      </c>
      <c r="B35" s="20"/>
      <c r="C35" s="20"/>
      <c r="D35" s="20"/>
      <c r="E35" s="20"/>
      <c r="F35" s="79">
        <v>5711.5</v>
      </c>
      <c r="G35" s="24"/>
      <c r="H35" s="22"/>
    </row>
    <row r="36" spans="1:8" ht="15.75" x14ac:dyDescent="0.25">
      <c r="A36" s="25" t="s">
        <v>13</v>
      </c>
      <c r="B36" s="16"/>
      <c r="C36" s="16"/>
      <c r="D36" s="16"/>
      <c r="E36" s="16"/>
      <c r="F36" s="80">
        <v>7000</v>
      </c>
      <c r="G36" s="26" t="s">
        <v>14</v>
      </c>
      <c r="H36" s="78" t="s">
        <v>54</v>
      </c>
    </row>
    <row r="37" spans="1:8" ht="15.75" x14ac:dyDescent="0.25">
      <c r="A37" s="23" t="s">
        <v>63</v>
      </c>
      <c r="B37" s="20"/>
      <c r="C37" s="20"/>
      <c r="D37" s="20"/>
      <c r="E37" s="20"/>
      <c r="F37" s="79">
        <f>F36-F35</f>
        <v>1288.5</v>
      </c>
      <c r="G37" s="27" t="s">
        <v>14</v>
      </c>
      <c r="H37" s="89" t="s">
        <v>64</v>
      </c>
    </row>
    <row r="38" spans="1:8" x14ac:dyDescent="0.2">
      <c r="A38" s="28" t="s">
        <v>15</v>
      </c>
      <c r="B38" s="77"/>
      <c r="C38" s="77"/>
      <c r="D38" s="77"/>
      <c r="E38" s="77"/>
      <c r="F38" s="95"/>
      <c r="G38" s="96"/>
      <c r="H38" s="6"/>
    </row>
    <row r="39" spans="1:8" ht="15.75" x14ac:dyDescent="0.25">
      <c r="A39" s="29" t="s">
        <v>16</v>
      </c>
      <c r="B39" s="30"/>
      <c r="C39" s="30"/>
      <c r="D39" s="31"/>
      <c r="E39" s="29" t="s">
        <v>17</v>
      </c>
      <c r="F39" s="30"/>
      <c r="G39" s="31"/>
      <c r="H39" s="32" t="s">
        <v>18</v>
      </c>
    </row>
    <row r="40" spans="1:8" x14ac:dyDescent="0.2">
      <c r="A40" s="5"/>
      <c r="B40" s="77"/>
      <c r="C40" s="77"/>
      <c r="D40" s="6"/>
      <c r="E40" s="5"/>
      <c r="F40" s="77"/>
      <c r="G40" s="6"/>
      <c r="H40" s="33"/>
    </row>
    <row r="41" spans="1:8" x14ac:dyDescent="0.2">
      <c r="A41" s="5"/>
      <c r="B41" s="77"/>
      <c r="C41" s="77"/>
      <c r="D41" s="6"/>
      <c r="E41" s="5"/>
      <c r="F41" s="77"/>
      <c r="G41" s="6"/>
      <c r="H41" s="33"/>
    </row>
    <row r="42" spans="1:8" x14ac:dyDescent="0.2">
      <c r="A42" s="34" t="s">
        <v>19</v>
      </c>
      <c r="B42" s="97"/>
      <c r="C42" s="97"/>
      <c r="D42" s="35"/>
      <c r="E42" s="140" t="s">
        <v>20</v>
      </c>
      <c r="F42" s="141"/>
      <c r="G42" s="142"/>
      <c r="H42" s="36" t="s">
        <v>21</v>
      </c>
    </row>
    <row r="43" spans="1:8" x14ac:dyDescent="0.2">
      <c r="A43" s="125" t="s">
        <v>22</v>
      </c>
      <c r="B43" s="126"/>
      <c r="C43" s="126"/>
      <c r="D43" s="127"/>
      <c r="E43" s="125" t="s">
        <v>23</v>
      </c>
      <c r="F43" s="126"/>
      <c r="G43" s="127"/>
      <c r="H43" s="37" t="s">
        <v>24</v>
      </c>
    </row>
    <row r="44" spans="1:8" ht="15.75" customHeight="1" x14ac:dyDescent="0.2">
      <c r="A44" s="133" t="s">
        <v>25</v>
      </c>
      <c r="B44" s="134"/>
      <c r="C44" s="134"/>
      <c r="D44" s="134"/>
      <c r="E44" s="134"/>
      <c r="F44" s="134" t="s">
        <v>26</v>
      </c>
      <c r="G44" s="134"/>
      <c r="H44" s="135"/>
    </row>
    <row r="45" spans="1:8" x14ac:dyDescent="0.2">
      <c r="A45" s="5"/>
      <c r="B45" s="77"/>
      <c r="C45" s="77"/>
      <c r="D45" s="77"/>
      <c r="E45" s="77"/>
      <c r="F45" s="77"/>
      <c r="G45" s="77"/>
      <c r="H45" s="6"/>
    </row>
    <row r="46" spans="1:8" x14ac:dyDescent="0.2">
      <c r="A46" s="5"/>
      <c r="B46" s="77"/>
      <c r="C46" s="77"/>
      <c r="D46" s="77"/>
      <c r="E46" s="77"/>
      <c r="F46" s="77"/>
      <c r="G46" s="77"/>
      <c r="H46" s="6"/>
    </row>
    <row r="47" spans="1:8" ht="15.75" customHeight="1" x14ac:dyDescent="0.2">
      <c r="A47" s="136" t="s">
        <v>27</v>
      </c>
      <c r="B47" s="137"/>
      <c r="C47" s="137"/>
      <c r="D47" s="137"/>
      <c r="E47" s="137"/>
      <c r="F47" s="137" t="s">
        <v>28</v>
      </c>
      <c r="G47" s="137"/>
      <c r="H47" s="138"/>
    </row>
    <row r="48" spans="1:8" ht="15.75" customHeight="1" x14ac:dyDescent="0.2">
      <c r="A48" s="125" t="s">
        <v>29</v>
      </c>
      <c r="B48" s="126"/>
      <c r="C48" s="126"/>
      <c r="D48" s="126"/>
      <c r="E48" s="126"/>
      <c r="F48" s="126" t="s">
        <v>30</v>
      </c>
      <c r="G48" s="126"/>
      <c r="H48" s="127"/>
    </row>
    <row r="49" spans="1:1" x14ac:dyDescent="0.2">
      <c r="A49" s="2"/>
    </row>
  </sheetData>
  <mergeCells count="34">
    <mergeCell ref="A5:H5"/>
    <mergeCell ref="A6:H6"/>
    <mergeCell ref="A7:H7"/>
    <mergeCell ref="A8:F9"/>
    <mergeCell ref="G8:G9"/>
    <mergeCell ref="H8:H9"/>
    <mergeCell ref="F29:G29"/>
    <mergeCell ref="A10:B10"/>
    <mergeCell ref="A11:F11"/>
    <mergeCell ref="G11:H11"/>
    <mergeCell ref="A22:E22"/>
    <mergeCell ref="F22:G22"/>
    <mergeCell ref="F23:G23"/>
    <mergeCell ref="F24:G24"/>
    <mergeCell ref="F25:G25"/>
    <mergeCell ref="F26:G26"/>
    <mergeCell ref="F27:G27"/>
    <mergeCell ref="F28:G28"/>
    <mergeCell ref="A48:E48"/>
    <mergeCell ref="F48:H48"/>
    <mergeCell ref="G15:H15"/>
    <mergeCell ref="C10:F10"/>
    <mergeCell ref="A43:D43"/>
    <mergeCell ref="E43:G43"/>
    <mergeCell ref="A44:E44"/>
    <mergeCell ref="F44:H44"/>
    <mergeCell ref="A47:E47"/>
    <mergeCell ref="F47:H47"/>
    <mergeCell ref="F30:G30"/>
    <mergeCell ref="F31:G31"/>
    <mergeCell ref="F32:G32"/>
    <mergeCell ref="F33:G33"/>
    <mergeCell ref="F34:G34"/>
    <mergeCell ref="E42:G42"/>
  </mergeCells>
  <pageMargins left="0.7" right="0.7" top="0.75" bottom="0.75" header="0.3" footer="0.3"/>
  <pageSetup paperSize="9" scale="83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1945-B00B-496E-82FE-8456D0F5E6FE}">
  <sheetPr>
    <pageSetUpPr fitToPage="1"/>
  </sheetPr>
  <dimension ref="A1:L63"/>
  <sheetViews>
    <sheetView workbookViewId="0">
      <selection activeCell="A9" sqref="A9:D9"/>
    </sheetView>
  </sheetViews>
  <sheetFormatPr defaultRowHeight="15" x14ac:dyDescent="0.25"/>
  <cols>
    <col min="1" max="1" width="12.5703125" style="67" customWidth="1"/>
    <col min="2" max="2" width="37" style="43" customWidth="1"/>
    <col min="3" max="3" width="17.28515625" style="44" customWidth="1"/>
    <col min="4" max="4" width="27.28515625" style="68" customWidth="1"/>
  </cols>
  <sheetData>
    <row r="1" spans="1:12" x14ac:dyDescent="0.25">
      <c r="A1" s="38"/>
      <c r="B1" s="39"/>
      <c r="C1" s="40"/>
      <c r="D1" s="41"/>
    </row>
    <row r="2" spans="1:12" x14ac:dyDescent="0.25">
      <c r="A2" s="42"/>
      <c r="B2" s="70"/>
      <c r="C2" s="72"/>
      <c r="D2" s="45"/>
    </row>
    <row r="3" spans="1:12" x14ac:dyDescent="0.25">
      <c r="A3" s="42"/>
      <c r="B3" s="70"/>
      <c r="C3" s="72"/>
      <c r="D3" s="45"/>
    </row>
    <row r="4" spans="1:12" x14ac:dyDescent="0.25">
      <c r="A4" s="42"/>
      <c r="B4" s="70"/>
      <c r="C4" s="72"/>
      <c r="D4" s="45"/>
    </row>
    <row r="5" spans="1:12" x14ac:dyDescent="0.25">
      <c r="A5" s="182" t="s">
        <v>0</v>
      </c>
      <c r="B5" s="183"/>
      <c r="C5" s="183"/>
      <c r="D5" s="184"/>
    </row>
    <row r="6" spans="1:12" x14ac:dyDescent="0.25">
      <c r="A6" s="185" t="s">
        <v>31</v>
      </c>
      <c r="B6" s="186"/>
      <c r="C6" s="186"/>
      <c r="D6" s="187"/>
    </row>
    <row r="7" spans="1:12" x14ac:dyDescent="0.25">
      <c r="A7" s="188" t="s">
        <v>2</v>
      </c>
      <c r="B7" s="189"/>
      <c r="C7" s="189"/>
      <c r="D7" s="190"/>
    </row>
    <row r="8" spans="1:12" ht="23.25" x14ac:dyDescent="0.25">
      <c r="A8" s="191" t="s">
        <v>32</v>
      </c>
      <c r="B8" s="192"/>
      <c r="C8" s="192"/>
      <c r="D8" s="193"/>
    </row>
    <row r="9" spans="1:12" ht="39" customHeight="1" x14ac:dyDescent="0.25">
      <c r="A9" s="194" t="s">
        <v>39</v>
      </c>
      <c r="B9" s="195"/>
      <c r="C9" s="195"/>
      <c r="D9" s="196"/>
      <c r="E9" s="46"/>
      <c r="F9" s="46"/>
      <c r="G9" s="46"/>
      <c r="H9" s="46"/>
      <c r="I9" s="46"/>
      <c r="J9" s="46"/>
      <c r="K9" s="46"/>
      <c r="L9" s="46"/>
    </row>
    <row r="10" spans="1:12" s="51" customFormat="1" ht="30.75" customHeight="1" x14ac:dyDescent="0.25">
      <c r="A10" s="47" t="s">
        <v>33</v>
      </c>
      <c r="B10" s="48" t="s">
        <v>7</v>
      </c>
      <c r="C10" s="49" t="s">
        <v>34</v>
      </c>
      <c r="D10" s="50" t="s">
        <v>35</v>
      </c>
    </row>
    <row r="11" spans="1:12" x14ac:dyDescent="0.25">
      <c r="A11" s="38">
        <v>46064</v>
      </c>
      <c r="B11" s="39" t="s">
        <v>43</v>
      </c>
      <c r="C11" s="52"/>
      <c r="D11" s="53">
        <v>187</v>
      </c>
    </row>
    <row r="12" spans="1:12" x14ac:dyDescent="0.25">
      <c r="A12" s="42"/>
      <c r="B12" s="70" t="s">
        <v>44</v>
      </c>
      <c r="C12" s="71" t="s">
        <v>45</v>
      </c>
      <c r="D12" s="45">
        <v>451.5</v>
      </c>
    </row>
    <row r="13" spans="1:12" x14ac:dyDescent="0.25">
      <c r="A13" s="42">
        <v>46065</v>
      </c>
      <c r="B13" s="70" t="s">
        <v>40</v>
      </c>
      <c r="C13" s="71"/>
      <c r="D13" s="45">
        <v>1186</v>
      </c>
    </row>
    <row r="14" spans="1:12" x14ac:dyDescent="0.25">
      <c r="A14" s="42"/>
      <c r="B14" s="70" t="s">
        <v>41</v>
      </c>
      <c r="C14" s="71" t="s">
        <v>42</v>
      </c>
      <c r="D14" s="45">
        <v>1320</v>
      </c>
    </row>
    <row r="15" spans="1:12" x14ac:dyDescent="0.25">
      <c r="A15" s="42"/>
      <c r="B15" s="70" t="s">
        <v>48</v>
      </c>
      <c r="C15" s="71" t="s">
        <v>46</v>
      </c>
      <c r="D15" s="45">
        <v>600</v>
      </c>
    </row>
    <row r="16" spans="1:12" x14ac:dyDescent="0.25">
      <c r="A16" s="42"/>
      <c r="B16" s="74" t="s">
        <v>47</v>
      </c>
      <c r="C16" s="71" t="s">
        <v>49</v>
      </c>
      <c r="D16" s="45">
        <v>898</v>
      </c>
    </row>
    <row r="17" spans="1:4" x14ac:dyDescent="0.25">
      <c r="A17" s="42"/>
      <c r="B17" s="70" t="s">
        <v>50</v>
      </c>
      <c r="C17" s="71" t="s">
        <v>51</v>
      </c>
      <c r="D17" s="45">
        <v>129</v>
      </c>
    </row>
    <row r="18" spans="1:4" x14ac:dyDescent="0.25">
      <c r="A18" s="42"/>
      <c r="B18" s="70" t="s">
        <v>52</v>
      </c>
      <c r="C18" s="71" t="s">
        <v>53</v>
      </c>
      <c r="D18" s="45">
        <v>940</v>
      </c>
    </row>
    <row r="19" spans="1:4" x14ac:dyDescent="0.25">
      <c r="A19" s="42"/>
      <c r="B19" s="70"/>
      <c r="C19" s="71"/>
      <c r="D19" s="45"/>
    </row>
    <row r="20" spans="1:4" x14ac:dyDescent="0.25">
      <c r="A20" s="42"/>
      <c r="B20" s="70"/>
      <c r="C20" s="71"/>
      <c r="D20" s="45"/>
    </row>
    <row r="21" spans="1:4" x14ac:dyDescent="0.25">
      <c r="A21" s="42"/>
      <c r="B21" s="70"/>
      <c r="C21" s="72"/>
      <c r="D21" s="45"/>
    </row>
    <row r="22" spans="1:4" x14ac:dyDescent="0.25">
      <c r="A22" s="42"/>
      <c r="B22" s="70"/>
      <c r="C22" s="71"/>
      <c r="D22" s="55"/>
    </row>
    <row r="23" spans="1:4" x14ac:dyDescent="0.25">
      <c r="A23" s="42"/>
      <c r="B23" s="70"/>
      <c r="C23" s="75"/>
      <c r="D23" s="56"/>
    </row>
    <row r="24" spans="1:4" x14ac:dyDescent="0.25">
      <c r="A24" s="42"/>
      <c r="B24" s="70"/>
      <c r="C24" s="75"/>
      <c r="D24" s="56"/>
    </row>
    <row r="25" spans="1:4" x14ac:dyDescent="0.25">
      <c r="A25" s="42"/>
      <c r="B25" s="70"/>
      <c r="C25" s="75"/>
      <c r="D25" s="56"/>
    </row>
    <row r="26" spans="1:4" x14ac:dyDescent="0.25">
      <c r="A26" s="42"/>
      <c r="B26" s="70"/>
      <c r="C26" s="75"/>
      <c r="D26" s="56"/>
    </row>
    <row r="27" spans="1:4" x14ac:dyDescent="0.25">
      <c r="A27" s="42"/>
      <c r="B27" s="70"/>
      <c r="C27" s="72"/>
      <c r="D27" s="45"/>
    </row>
    <row r="28" spans="1:4" x14ac:dyDescent="0.25">
      <c r="A28" s="42"/>
      <c r="B28" s="70"/>
      <c r="C28" s="75"/>
      <c r="D28" s="57"/>
    </row>
    <row r="29" spans="1:4" x14ac:dyDescent="0.25">
      <c r="A29" s="42"/>
      <c r="B29" s="70"/>
      <c r="C29" s="75"/>
      <c r="D29" s="57"/>
    </row>
    <row r="30" spans="1:4" x14ac:dyDescent="0.25">
      <c r="A30" s="42"/>
      <c r="B30" s="70"/>
      <c r="C30" s="75"/>
      <c r="D30" s="57"/>
    </row>
    <row r="31" spans="1:4" x14ac:dyDescent="0.25">
      <c r="A31" s="42"/>
      <c r="B31" s="70"/>
      <c r="C31" s="75"/>
      <c r="D31" s="57"/>
    </row>
    <row r="32" spans="1:4" x14ac:dyDescent="0.25">
      <c r="A32" s="42"/>
      <c r="B32" s="70"/>
      <c r="C32" s="75"/>
      <c r="D32" s="57"/>
    </row>
    <row r="33" spans="1:4" x14ac:dyDescent="0.25">
      <c r="A33" s="42"/>
      <c r="B33" s="70"/>
      <c r="C33" s="75"/>
      <c r="D33" s="57"/>
    </row>
    <row r="34" spans="1:4" x14ac:dyDescent="0.25">
      <c r="A34" s="42"/>
      <c r="B34" s="70"/>
      <c r="C34" s="75"/>
      <c r="D34" s="57"/>
    </row>
    <row r="35" spans="1:4" x14ac:dyDescent="0.25">
      <c r="A35" s="42"/>
      <c r="B35" s="70"/>
      <c r="C35" s="75"/>
      <c r="D35" s="57"/>
    </row>
    <row r="36" spans="1:4" x14ac:dyDescent="0.25">
      <c r="A36" s="42"/>
      <c r="B36" s="70"/>
      <c r="C36" s="75"/>
      <c r="D36" s="57"/>
    </row>
    <row r="37" spans="1:4" x14ac:dyDescent="0.25">
      <c r="A37" s="42"/>
      <c r="B37" s="70"/>
      <c r="C37" s="75"/>
      <c r="D37" s="58"/>
    </row>
    <row r="38" spans="1:4" ht="15.75" x14ac:dyDescent="0.25">
      <c r="A38" s="42"/>
      <c r="B38" s="70"/>
      <c r="C38" s="76" t="s">
        <v>36</v>
      </c>
      <c r="D38" s="59">
        <f>SUM(D11:D18)</f>
        <v>5711.5</v>
      </c>
    </row>
    <row r="39" spans="1:4" ht="15.75" x14ac:dyDescent="0.25">
      <c r="A39" s="42"/>
      <c r="B39" s="70"/>
      <c r="C39" s="76"/>
      <c r="D39" s="59"/>
    </row>
    <row r="40" spans="1:4" x14ac:dyDescent="0.25">
      <c r="A40" s="42"/>
      <c r="B40" s="70"/>
      <c r="C40" s="72"/>
      <c r="D40" s="45"/>
    </row>
    <row r="41" spans="1:4" x14ac:dyDescent="0.25">
      <c r="A41" s="60"/>
      <c r="B41" s="61"/>
      <c r="C41" s="62"/>
      <c r="D41" s="63"/>
    </row>
    <row r="42" spans="1:4" ht="15.75" x14ac:dyDescent="0.25">
      <c r="A42" s="64" t="s">
        <v>16</v>
      </c>
      <c r="B42" s="30"/>
      <c r="C42" s="65" t="s">
        <v>37</v>
      </c>
      <c r="D42" s="45"/>
    </row>
    <row r="43" spans="1:4" ht="15.75" x14ac:dyDescent="0.25">
      <c r="A43" s="66"/>
      <c r="B43" s="77"/>
      <c r="C43" s="77"/>
      <c r="D43" s="45"/>
    </row>
    <row r="44" spans="1:4" ht="15.75" x14ac:dyDescent="0.25">
      <c r="A44" s="66"/>
      <c r="B44" s="77"/>
      <c r="C44" s="77"/>
      <c r="D44" s="45"/>
    </row>
    <row r="45" spans="1:4" x14ac:dyDescent="0.25">
      <c r="A45" s="180" t="s">
        <v>19</v>
      </c>
      <c r="B45" s="181"/>
      <c r="C45" s="141" t="s">
        <v>20</v>
      </c>
      <c r="D45" s="142"/>
    </row>
    <row r="46" spans="1:4" x14ac:dyDescent="0.25">
      <c r="A46" s="178" t="s">
        <v>22</v>
      </c>
      <c r="B46" s="179"/>
      <c r="C46" s="126" t="s">
        <v>23</v>
      </c>
      <c r="D46" s="127"/>
    </row>
    <row r="47" spans="1:4" x14ac:dyDescent="0.25">
      <c r="A47" s="133" t="s">
        <v>38</v>
      </c>
      <c r="B47" s="134"/>
      <c r="C47" s="134"/>
      <c r="D47" s="135"/>
    </row>
    <row r="48" spans="1:4" ht="15.75" x14ac:dyDescent="0.25">
      <c r="A48" s="66"/>
      <c r="B48" s="77"/>
      <c r="C48" s="77"/>
      <c r="D48" s="6"/>
    </row>
    <row r="49" spans="1:4" ht="15.75" x14ac:dyDescent="0.25">
      <c r="A49" s="66"/>
      <c r="B49" s="77"/>
      <c r="C49" s="77"/>
      <c r="D49" s="6"/>
    </row>
    <row r="50" spans="1:4" x14ac:dyDescent="0.25">
      <c r="A50" s="136" t="s">
        <v>28</v>
      </c>
      <c r="B50" s="137"/>
      <c r="C50" s="137"/>
      <c r="D50" s="138"/>
    </row>
    <row r="51" spans="1:4" x14ac:dyDescent="0.25">
      <c r="A51" s="125" t="s">
        <v>30</v>
      </c>
      <c r="B51" s="126"/>
      <c r="C51" s="126"/>
      <c r="D51" s="127"/>
    </row>
    <row r="56" spans="1:4" x14ac:dyDescent="0.25">
      <c r="B56" s="176"/>
      <c r="C56" s="176"/>
    </row>
    <row r="57" spans="1:4" x14ac:dyDescent="0.25">
      <c r="B57" s="175"/>
      <c r="C57" s="175"/>
    </row>
    <row r="58" spans="1:4" x14ac:dyDescent="0.25">
      <c r="B58" s="69"/>
      <c r="C58" s="54"/>
    </row>
    <row r="62" spans="1:4" x14ac:dyDescent="0.25">
      <c r="B62" s="176"/>
      <c r="C62" s="176"/>
    </row>
    <row r="63" spans="1:4" x14ac:dyDescent="0.25">
      <c r="B63" s="177"/>
      <c r="C63" s="177"/>
    </row>
  </sheetData>
  <mergeCells count="16">
    <mergeCell ref="A5:D5"/>
    <mergeCell ref="A6:D6"/>
    <mergeCell ref="A7:D7"/>
    <mergeCell ref="A8:D8"/>
    <mergeCell ref="A9:D9"/>
    <mergeCell ref="B57:C57"/>
    <mergeCell ref="B62:C62"/>
    <mergeCell ref="B63:C63"/>
    <mergeCell ref="C45:D45"/>
    <mergeCell ref="C46:D46"/>
    <mergeCell ref="A46:B46"/>
    <mergeCell ref="A47:D47"/>
    <mergeCell ref="A50:D50"/>
    <mergeCell ref="A51:D51"/>
    <mergeCell ref="B56:C56"/>
    <mergeCell ref="A45:B45"/>
  </mergeCells>
  <pageMargins left="0.7" right="0.7" top="0.75" bottom="0.75" header="0.3" footer="0.3"/>
  <pageSetup paperSize="9" scale="92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4642-3975-4000-9476-22745E58CE43}">
  <sheetPr>
    <pageSetUpPr fitToPage="1"/>
  </sheetPr>
  <dimension ref="A1:I49"/>
  <sheetViews>
    <sheetView tabSelected="1" workbookViewId="0">
      <selection activeCell="U25" sqref="U25"/>
    </sheetView>
  </sheetViews>
  <sheetFormatPr defaultRowHeight="15" x14ac:dyDescent="0.2"/>
  <cols>
    <col min="1" max="1" width="9.140625" style="4"/>
    <col min="2" max="2" width="4.85546875" style="4" customWidth="1"/>
    <col min="3" max="3" width="7.5703125" style="4" customWidth="1"/>
    <col min="4" max="4" width="8.140625" style="4" customWidth="1"/>
    <col min="5" max="5" width="10.140625" style="4" customWidth="1"/>
    <col min="6" max="6" width="11.42578125" style="4" customWidth="1"/>
    <col min="7" max="7" width="13.42578125" style="4" customWidth="1"/>
    <col min="8" max="8" width="24.42578125" style="4" customWidth="1"/>
    <col min="9" max="9" width="15.7109375" style="4" customWidth="1"/>
    <col min="10" max="16384" width="9.140625" style="4"/>
  </cols>
  <sheetData>
    <row r="1" spans="1:9" x14ac:dyDescent="0.2">
      <c r="A1" s="1"/>
      <c r="B1" s="2"/>
      <c r="C1" s="2"/>
      <c r="D1" s="2"/>
      <c r="E1" s="2"/>
      <c r="F1" s="2"/>
      <c r="G1" s="2"/>
      <c r="H1" s="3"/>
    </row>
    <row r="2" spans="1:9" x14ac:dyDescent="0.2">
      <c r="A2" s="5"/>
      <c r="B2" s="77"/>
      <c r="C2" s="77"/>
      <c r="D2" s="77"/>
      <c r="E2" s="77"/>
      <c r="F2" s="77"/>
      <c r="G2" s="77"/>
      <c r="H2" s="6"/>
    </row>
    <row r="3" spans="1:9" x14ac:dyDescent="0.2">
      <c r="A3" s="5"/>
      <c r="B3" s="77"/>
      <c r="C3" s="77"/>
      <c r="D3" s="77"/>
      <c r="E3" s="77"/>
      <c r="F3" s="77"/>
      <c r="G3" s="77"/>
      <c r="H3" s="6"/>
    </row>
    <row r="4" spans="1:9" x14ac:dyDescent="0.2">
      <c r="A4" s="5"/>
      <c r="B4" s="77"/>
      <c r="C4" s="77"/>
      <c r="D4" s="90"/>
      <c r="E4" s="90"/>
      <c r="F4" s="90"/>
      <c r="G4" s="90"/>
      <c r="H4" s="8"/>
      <c r="I4" s="7"/>
    </row>
    <row r="5" spans="1:9" ht="15.75" customHeight="1" x14ac:dyDescent="0.2">
      <c r="A5" s="159" t="s">
        <v>0</v>
      </c>
      <c r="B5" s="160"/>
      <c r="C5" s="160"/>
      <c r="D5" s="160"/>
      <c r="E5" s="160"/>
      <c r="F5" s="160"/>
      <c r="G5" s="160"/>
      <c r="H5" s="161"/>
      <c r="I5" s="9"/>
    </row>
    <row r="6" spans="1:9" ht="15.75" customHeight="1" x14ac:dyDescent="0.2">
      <c r="A6" s="162" t="s">
        <v>1</v>
      </c>
      <c r="B6" s="163"/>
      <c r="C6" s="163"/>
      <c r="D6" s="163"/>
      <c r="E6" s="163"/>
      <c r="F6" s="163"/>
      <c r="G6" s="163"/>
      <c r="H6" s="164"/>
      <c r="I6" s="9"/>
    </row>
    <row r="7" spans="1:9" ht="15.75" customHeight="1" x14ac:dyDescent="0.2">
      <c r="A7" s="125" t="s">
        <v>2</v>
      </c>
      <c r="B7" s="126"/>
      <c r="C7" s="126"/>
      <c r="D7" s="126"/>
      <c r="E7" s="126"/>
      <c r="F7" s="126"/>
      <c r="G7" s="126"/>
      <c r="H7" s="127"/>
      <c r="I7" s="9"/>
    </row>
    <row r="8" spans="1:9" x14ac:dyDescent="0.2">
      <c r="A8" s="165" t="s">
        <v>3</v>
      </c>
      <c r="B8" s="166"/>
      <c r="C8" s="166"/>
      <c r="D8" s="166"/>
      <c r="E8" s="166"/>
      <c r="F8" s="167"/>
      <c r="G8" s="171" t="s">
        <v>4</v>
      </c>
      <c r="H8" s="173" t="s">
        <v>83</v>
      </c>
      <c r="I8" s="10"/>
    </row>
    <row r="9" spans="1:9" x14ac:dyDescent="0.2">
      <c r="A9" s="168"/>
      <c r="B9" s="169"/>
      <c r="C9" s="169"/>
      <c r="D9" s="169"/>
      <c r="E9" s="169"/>
      <c r="F9" s="170"/>
      <c r="G9" s="172"/>
      <c r="H9" s="174"/>
      <c r="I9" s="10"/>
    </row>
    <row r="10" spans="1:9" ht="30.75" customHeight="1" x14ac:dyDescent="0.2">
      <c r="A10" s="143" t="s">
        <v>5</v>
      </c>
      <c r="B10" s="144"/>
      <c r="C10" s="130" t="s">
        <v>84</v>
      </c>
      <c r="D10" s="131"/>
      <c r="E10" s="131"/>
      <c r="F10" s="132"/>
      <c r="G10" s="11" t="s">
        <v>6</v>
      </c>
      <c r="H10" s="12">
        <v>46078</v>
      </c>
      <c r="I10" s="13"/>
    </row>
    <row r="11" spans="1:9" ht="15.75" x14ac:dyDescent="0.25">
      <c r="A11" s="145" t="s">
        <v>7</v>
      </c>
      <c r="B11" s="146"/>
      <c r="C11" s="146"/>
      <c r="D11" s="146"/>
      <c r="E11" s="146"/>
      <c r="F11" s="146"/>
      <c r="G11" s="147" t="s">
        <v>8</v>
      </c>
      <c r="H11" s="148"/>
      <c r="I11" s="14"/>
    </row>
    <row r="12" spans="1:9" x14ac:dyDescent="0.2">
      <c r="A12" s="1"/>
      <c r="B12" s="2"/>
      <c r="C12" s="2"/>
      <c r="D12" s="2"/>
      <c r="E12" s="2"/>
      <c r="F12" s="3"/>
      <c r="G12" s="1"/>
      <c r="H12" s="3"/>
      <c r="I12" s="5"/>
    </row>
    <row r="13" spans="1:9" x14ac:dyDescent="0.2">
      <c r="A13" s="5"/>
      <c r="B13" s="77"/>
      <c r="C13" s="77"/>
      <c r="D13" s="77"/>
      <c r="E13" s="77"/>
      <c r="F13" s="6"/>
      <c r="G13" s="5"/>
      <c r="H13" s="6"/>
    </row>
    <row r="14" spans="1:9" ht="15.75" x14ac:dyDescent="0.25">
      <c r="A14" s="81" t="s">
        <v>85</v>
      </c>
      <c r="B14" s="77"/>
      <c r="C14" s="77"/>
      <c r="D14" s="77"/>
      <c r="E14" s="77"/>
      <c r="F14" s="6"/>
      <c r="G14" s="5"/>
      <c r="H14" s="6"/>
    </row>
    <row r="15" spans="1:9" ht="15.75" x14ac:dyDescent="0.25">
      <c r="A15" s="81" t="s">
        <v>86</v>
      </c>
      <c r="B15" s="77"/>
      <c r="C15" s="77"/>
      <c r="D15" s="77"/>
      <c r="E15" s="77"/>
      <c r="F15" s="6"/>
      <c r="G15" s="128">
        <v>15000</v>
      </c>
      <c r="H15" s="129"/>
    </row>
    <row r="16" spans="1:9" ht="15.75" x14ac:dyDescent="0.25">
      <c r="A16" s="81" t="s">
        <v>87</v>
      </c>
      <c r="B16" s="77"/>
      <c r="C16" s="77"/>
      <c r="D16" s="77"/>
      <c r="E16" s="77"/>
      <c r="F16" s="77"/>
      <c r="G16" s="5"/>
      <c r="H16" s="6"/>
    </row>
    <row r="17" spans="1:8" ht="15.75" x14ac:dyDescent="0.25">
      <c r="A17" s="81" t="s">
        <v>88</v>
      </c>
      <c r="B17" s="91"/>
      <c r="C17" s="92"/>
      <c r="D17" s="92"/>
      <c r="E17" s="92"/>
      <c r="F17" s="83"/>
      <c r="G17" s="5"/>
      <c r="H17" s="6"/>
    </row>
    <row r="18" spans="1:8" x14ac:dyDescent="0.2">
      <c r="A18" s="5"/>
      <c r="B18" s="92"/>
      <c r="C18" s="92"/>
      <c r="D18" s="92"/>
      <c r="E18" s="92"/>
      <c r="F18" s="93"/>
      <c r="G18" s="5"/>
      <c r="H18" s="6"/>
    </row>
    <row r="19" spans="1:8" x14ac:dyDescent="0.2">
      <c r="A19" s="5"/>
      <c r="B19" s="92"/>
      <c r="C19" s="92"/>
      <c r="D19" s="92"/>
      <c r="E19" s="92"/>
      <c r="F19" s="84"/>
      <c r="G19" s="5"/>
      <c r="H19" s="6"/>
    </row>
    <row r="20" spans="1:8" x14ac:dyDescent="0.2">
      <c r="A20" s="5"/>
      <c r="B20" s="92"/>
      <c r="C20" s="94"/>
      <c r="D20" s="92"/>
      <c r="E20" s="92"/>
      <c r="F20" s="85"/>
      <c r="G20" s="5"/>
      <c r="H20" s="6"/>
    </row>
    <row r="21" spans="1:8" x14ac:dyDescent="0.2">
      <c r="A21" s="15"/>
      <c r="B21" s="16"/>
      <c r="C21" s="16"/>
      <c r="D21" s="16"/>
      <c r="E21" s="16"/>
      <c r="F21" s="17"/>
      <c r="G21" s="15"/>
      <c r="H21" s="17"/>
    </row>
    <row r="22" spans="1:8" ht="15.75" x14ac:dyDescent="0.25">
      <c r="A22" s="145" t="s">
        <v>9</v>
      </c>
      <c r="B22" s="149"/>
      <c r="C22" s="149"/>
      <c r="D22" s="149"/>
      <c r="E22" s="148"/>
      <c r="F22" s="150" t="s">
        <v>10</v>
      </c>
      <c r="G22" s="151"/>
      <c r="H22" s="18" t="s">
        <v>11</v>
      </c>
    </row>
    <row r="23" spans="1:8" x14ac:dyDescent="0.2">
      <c r="A23" s="28" t="s">
        <v>97</v>
      </c>
      <c r="B23" s="82"/>
      <c r="C23" s="20"/>
      <c r="D23" s="20"/>
      <c r="E23" s="20"/>
      <c r="F23" s="152">
        <v>2654.5</v>
      </c>
      <c r="G23" s="152"/>
      <c r="H23" s="87"/>
    </row>
    <row r="24" spans="1:8" x14ac:dyDescent="0.2">
      <c r="A24" s="23" t="s">
        <v>89</v>
      </c>
      <c r="B24" s="20"/>
      <c r="C24" s="20"/>
      <c r="D24" s="20"/>
      <c r="E24" s="20"/>
      <c r="F24" s="152">
        <v>8775.5</v>
      </c>
      <c r="G24" s="152"/>
      <c r="H24" s="87"/>
    </row>
    <row r="25" spans="1:8" x14ac:dyDescent="0.2">
      <c r="A25" s="23" t="s">
        <v>90</v>
      </c>
      <c r="C25" s="20"/>
      <c r="D25" s="20"/>
      <c r="E25" s="20"/>
      <c r="F25" s="152">
        <v>350</v>
      </c>
      <c r="G25" s="152"/>
      <c r="H25" s="88"/>
    </row>
    <row r="26" spans="1:8" x14ac:dyDescent="0.2">
      <c r="A26" s="23" t="s">
        <v>91</v>
      </c>
      <c r="B26" s="20"/>
      <c r="C26" s="20"/>
      <c r="D26" s="20"/>
      <c r="E26" s="20"/>
      <c r="F26" s="152">
        <v>220</v>
      </c>
      <c r="G26" s="152"/>
      <c r="H26" s="21"/>
    </row>
    <row r="27" spans="1:8" x14ac:dyDescent="0.2">
      <c r="A27" s="23" t="s">
        <v>92</v>
      </c>
      <c r="B27" s="20"/>
      <c r="C27" s="20"/>
      <c r="D27" s="20"/>
      <c r="E27" s="20"/>
      <c r="F27" s="152">
        <v>3000</v>
      </c>
      <c r="G27" s="152"/>
      <c r="H27" s="21"/>
    </row>
    <row r="28" spans="1:8" x14ac:dyDescent="0.2">
      <c r="A28" s="19"/>
      <c r="B28" s="86" t="s">
        <v>61</v>
      </c>
      <c r="C28" s="20"/>
      <c r="D28" s="20"/>
      <c r="E28" s="20"/>
      <c r="F28" s="152"/>
      <c r="G28" s="152"/>
      <c r="H28" s="122">
        <v>15000</v>
      </c>
    </row>
    <row r="29" spans="1:8" x14ac:dyDescent="0.2">
      <c r="A29" s="19"/>
      <c r="B29" s="20"/>
      <c r="C29" s="20"/>
      <c r="D29" s="20"/>
      <c r="E29" s="20"/>
      <c r="F29" s="139"/>
      <c r="G29" s="139"/>
      <c r="H29" s="21"/>
    </row>
    <row r="30" spans="1:8" x14ac:dyDescent="0.2">
      <c r="A30" s="19"/>
      <c r="B30" s="20"/>
      <c r="C30" s="20"/>
      <c r="D30" s="20"/>
      <c r="E30" s="20"/>
      <c r="F30" s="139"/>
      <c r="G30" s="139"/>
      <c r="H30" s="21"/>
    </row>
    <row r="31" spans="1:8" x14ac:dyDescent="0.2">
      <c r="A31" s="19"/>
      <c r="B31" s="20"/>
      <c r="C31" s="20"/>
      <c r="D31" s="20"/>
      <c r="E31" s="20"/>
      <c r="F31" s="139"/>
      <c r="G31" s="139"/>
      <c r="H31" s="21"/>
    </row>
    <row r="32" spans="1:8" x14ac:dyDescent="0.2">
      <c r="A32" s="19"/>
      <c r="B32" s="20"/>
      <c r="C32" s="20"/>
      <c r="D32" s="20"/>
      <c r="E32" s="22"/>
      <c r="F32" s="139"/>
      <c r="G32" s="139"/>
      <c r="H32" s="21"/>
    </row>
    <row r="33" spans="1:8" x14ac:dyDescent="0.2">
      <c r="A33" s="19"/>
      <c r="B33" s="20"/>
      <c r="C33" s="20"/>
      <c r="D33" s="20"/>
      <c r="E33" s="22"/>
      <c r="F33" s="139"/>
      <c r="G33" s="139"/>
      <c r="H33" s="21"/>
    </row>
    <row r="34" spans="1:8" x14ac:dyDescent="0.2">
      <c r="A34" s="15"/>
      <c r="B34" s="16"/>
      <c r="C34" s="16"/>
      <c r="D34" s="16"/>
      <c r="E34" s="16"/>
      <c r="F34" s="139"/>
      <c r="G34" s="139"/>
      <c r="H34" s="21"/>
    </row>
    <row r="35" spans="1:8" ht="15.75" x14ac:dyDescent="0.25">
      <c r="A35" s="23" t="s">
        <v>12</v>
      </c>
      <c r="B35" s="20"/>
      <c r="C35" s="20"/>
      <c r="D35" s="20"/>
      <c r="E35" s="20"/>
      <c r="F35" s="79">
        <v>12345.5</v>
      </c>
      <c r="G35" s="24"/>
      <c r="H35" s="22"/>
    </row>
    <row r="36" spans="1:8" ht="15.75" x14ac:dyDescent="0.25">
      <c r="A36" s="25" t="s">
        <v>13</v>
      </c>
      <c r="B36" s="16"/>
      <c r="C36" s="16"/>
      <c r="D36" s="16"/>
      <c r="E36" s="16"/>
      <c r="F36" s="80">
        <v>15000</v>
      </c>
      <c r="G36" s="26" t="s">
        <v>14</v>
      </c>
      <c r="H36" s="78" t="s">
        <v>93</v>
      </c>
    </row>
    <row r="37" spans="1:8" ht="15.75" x14ac:dyDescent="0.25">
      <c r="A37" s="23" t="s">
        <v>98</v>
      </c>
      <c r="B37" s="20"/>
      <c r="C37" s="20"/>
      <c r="D37" s="20"/>
      <c r="E37" s="20"/>
      <c r="F37" s="79">
        <f>F36-F35</f>
        <v>2654.5</v>
      </c>
      <c r="G37" s="27" t="s">
        <v>14</v>
      </c>
      <c r="H37" s="89" t="s">
        <v>99</v>
      </c>
    </row>
    <row r="38" spans="1:8" x14ac:dyDescent="0.2">
      <c r="A38" s="28" t="s">
        <v>15</v>
      </c>
      <c r="B38" s="77"/>
      <c r="C38" s="77"/>
      <c r="D38" s="77"/>
      <c r="E38" s="77"/>
      <c r="F38" s="95"/>
      <c r="G38" s="96"/>
      <c r="H38" s="6"/>
    </row>
    <row r="39" spans="1:8" ht="15.75" x14ac:dyDescent="0.25">
      <c r="A39" s="29" t="s">
        <v>16</v>
      </c>
      <c r="B39" s="30"/>
      <c r="C39" s="30"/>
      <c r="D39" s="31"/>
      <c r="E39" s="29" t="s">
        <v>17</v>
      </c>
      <c r="F39" s="30"/>
      <c r="G39" s="31"/>
      <c r="H39" s="32" t="s">
        <v>18</v>
      </c>
    </row>
    <row r="40" spans="1:8" x14ac:dyDescent="0.2">
      <c r="A40" s="5"/>
      <c r="B40" s="77"/>
      <c r="C40" s="77"/>
      <c r="D40" s="6"/>
      <c r="E40" s="5"/>
      <c r="F40" s="77"/>
      <c r="G40" s="6"/>
      <c r="H40" s="33"/>
    </row>
    <row r="41" spans="1:8" x14ac:dyDescent="0.2">
      <c r="A41" s="5"/>
      <c r="B41" s="77"/>
      <c r="C41" s="77"/>
      <c r="D41" s="6"/>
      <c r="E41" s="5"/>
      <c r="F41" s="77"/>
      <c r="G41" s="6"/>
      <c r="H41" s="33"/>
    </row>
    <row r="42" spans="1:8" x14ac:dyDescent="0.2">
      <c r="A42" s="34" t="s">
        <v>19</v>
      </c>
      <c r="B42" s="97"/>
      <c r="C42" s="97"/>
      <c r="D42" s="35"/>
      <c r="E42" s="140" t="s">
        <v>20</v>
      </c>
      <c r="F42" s="141"/>
      <c r="G42" s="142"/>
      <c r="H42" s="36" t="s">
        <v>21</v>
      </c>
    </row>
    <row r="43" spans="1:8" x14ac:dyDescent="0.2">
      <c r="A43" s="125" t="s">
        <v>22</v>
      </c>
      <c r="B43" s="126"/>
      <c r="C43" s="126"/>
      <c r="D43" s="127"/>
      <c r="E43" s="125" t="s">
        <v>23</v>
      </c>
      <c r="F43" s="126"/>
      <c r="G43" s="127"/>
      <c r="H43" s="37" t="s">
        <v>24</v>
      </c>
    </row>
    <row r="44" spans="1:8" ht="15.75" customHeight="1" x14ac:dyDescent="0.2">
      <c r="A44" s="133" t="s">
        <v>25</v>
      </c>
      <c r="B44" s="134"/>
      <c r="C44" s="134"/>
      <c r="D44" s="134"/>
      <c r="E44" s="134"/>
      <c r="F44" s="134" t="s">
        <v>26</v>
      </c>
      <c r="G44" s="134"/>
      <c r="H44" s="135"/>
    </row>
    <row r="45" spans="1:8" x14ac:dyDescent="0.2">
      <c r="A45" s="5"/>
      <c r="B45" s="77"/>
      <c r="C45" s="77"/>
      <c r="D45" s="77"/>
      <c r="E45" s="77"/>
      <c r="F45" s="77"/>
      <c r="G45" s="77"/>
      <c r="H45" s="6"/>
    </row>
    <row r="46" spans="1:8" x14ac:dyDescent="0.2">
      <c r="A46" s="5"/>
      <c r="B46" s="77"/>
      <c r="C46" s="77"/>
      <c r="D46" s="77"/>
      <c r="E46" s="77"/>
      <c r="F46" s="77"/>
      <c r="G46" s="77"/>
      <c r="H46" s="6"/>
    </row>
    <row r="47" spans="1:8" ht="15.75" customHeight="1" x14ac:dyDescent="0.2">
      <c r="A47" s="136" t="s">
        <v>27</v>
      </c>
      <c r="B47" s="137"/>
      <c r="C47" s="137"/>
      <c r="D47" s="137"/>
      <c r="E47" s="137"/>
      <c r="F47" s="137" t="s">
        <v>28</v>
      </c>
      <c r="G47" s="137"/>
      <c r="H47" s="138"/>
    </row>
    <row r="48" spans="1:8" ht="15.75" customHeight="1" x14ac:dyDescent="0.2">
      <c r="A48" s="125" t="s">
        <v>29</v>
      </c>
      <c r="B48" s="126"/>
      <c r="C48" s="126"/>
      <c r="D48" s="126"/>
      <c r="E48" s="126"/>
      <c r="F48" s="126" t="s">
        <v>30</v>
      </c>
      <c r="G48" s="126"/>
      <c r="H48" s="127"/>
    </row>
    <row r="49" spans="1:1" x14ac:dyDescent="0.2">
      <c r="A49" s="2"/>
    </row>
  </sheetData>
  <mergeCells count="34">
    <mergeCell ref="A48:E48"/>
    <mergeCell ref="F48:H48"/>
    <mergeCell ref="E42:G42"/>
    <mergeCell ref="A43:D43"/>
    <mergeCell ref="E43:G43"/>
    <mergeCell ref="A44:E44"/>
    <mergeCell ref="F44:H44"/>
    <mergeCell ref="A47:E47"/>
    <mergeCell ref="F47:H47"/>
    <mergeCell ref="F34:G34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A22:E22"/>
    <mergeCell ref="F22:G22"/>
    <mergeCell ref="A5:H5"/>
    <mergeCell ref="A6:H6"/>
    <mergeCell ref="A7:H7"/>
    <mergeCell ref="A8:F9"/>
    <mergeCell ref="G8:G9"/>
    <mergeCell ref="H8:H9"/>
    <mergeCell ref="A10:B10"/>
    <mergeCell ref="C10:F10"/>
    <mergeCell ref="A11:F11"/>
    <mergeCell ref="G11:H11"/>
    <mergeCell ref="G15:H15"/>
  </mergeCells>
  <pageMargins left="0.7" right="0.7" top="0.75" bottom="0.75" header="0.3" footer="0.3"/>
  <pageSetup paperSize="9" scale="83" fitToHeight="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CD270-9F39-4FCA-859F-EC8E61AF3D68}">
  <sheetPr>
    <pageSetUpPr fitToPage="1"/>
  </sheetPr>
  <dimension ref="A1:O60"/>
  <sheetViews>
    <sheetView workbookViewId="0">
      <selection activeCell="C29" sqref="C29"/>
    </sheetView>
  </sheetViews>
  <sheetFormatPr defaultRowHeight="15" x14ac:dyDescent="0.25"/>
  <cols>
    <col min="1" max="1" width="11.5703125" style="67" customWidth="1"/>
    <col min="2" max="2" width="21.85546875" style="43" customWidth="1"/>
    <col min="3" max="3" width="10" style="44" customWidth="1"/>
    <col min="4" max="4" width="12.85546875" style="117" bestFit="1" customWidth="1"/>
    <col min="5" max="5" width="9.42578125" style="117" bestFit="1" customWidth="1"/>
    <col min="6" max="6" width="9.5703125" style="117" bestFit="1" customWidth="1"/>
    <col min="7" max="7" width="14.5703125" style="68" customWidth="1"/>
    <col min="8" max="8" width="9.140625" style="99"/>
  </cols>
  <sheetData>
    <row r="1" spans="1:15" x14ac:dyDescent="0.25">
      <c r="A1" s="38"/>
      <c r="B1" s="39"/>
      <c r="C1" s="40"/>
      <c r="D1" s="98"/>
      <c r="E1" s="98"/>
      <c r="F1" s="98"/>
      <c r="G1" s="41"/>
    </row>
    <row r="2" spans="1:15" x14ac:dyDescent="0.25">
      <c r="A2" s="42"/>
      <c r="B2" s="70"/>
      <c r="C2" s="73"/>
      <c r="D2" s="100"/>
      <c r="E2" s="100"/>
      <c r="F2" s="100"/>
      <c r="G2" s="45"/>
    </row>
    <row r="3" spans="1:15" x14ac:dyDescent="0.25">
      <c r="A3" s="42"/>
      <c r="B3" s="70"/>
      <c r="C3" s="73"/>
      <c r="D3" s="100"/>
      <c r="E3" s="100"/>
      <c r="F3" s="100"/>
      <c r="G3" s="45"/>
    </row>
    <row r="4" spans="1:15" x14ac:dyDescent="0.25">
      <c r="A4" s="42"/>
      <c r="B4" s="70"/>
      <c r="C4" s="73"/>
      <c r="D4" s="100"/>
      <c r="E4" s="100"/>
      <c r="F4" s="100"/>
      <c r="G4" s="45"/>
    </row>
    <row r="5" spans="1:15" x14ac:dyDescent="0.25">
      <c r="A5" s="182" t="s">
        <v>0</v>
      </c>
      <c r="B5" s="183"/>
      <c r="C5" s="183"/>
      <c r="D5" s="183"/>
      <c r="E5" s="183"/>
      <c r="F5" s="183"/>
      <c r="G5" s="184"/>
    </row>
    <row r="6" spans="1:15" x14ac:dyDescent="0.25">
      <c r="A6" s="185" t="s">
        <v>31</v>
      </c>
      <c r="B6" s="186"/>
      <c r="C6" s="186"/>
      <c r="D6" s="186"/>
      <c r="E6" s="186"/>
      <c r="F6" s="186"/>
      <c r="G6" s="187"/>
    </row>
    <row r="7" spans="1:15" x14ac:dyDescent="0.25">
      <c r="A7" s="188" t="s">
        <v>2</v>
      </c>
      <c r="B7" s="189"/>
      <c r="C7" s="189"/>
      <c r="D7" s="189"/>
      <c r="E7" s="189"/>
      <c r="F7" s="189"/>
      <c r="G7" s="190"/>
    </row>
    <row r="8" spans="1:15" ht="23.25" x14ac:dyDescent="0.25">
      <c r="A8" s="191" t="s">
        <v>32</v>
      </c>
      <c r="B8" s="192"/>
      <c r="C8" s="192"/>
      <c r="D8" s="192"/>
      <c r="E8" s="192"/>
      <c r="F8" s="192"/>
      <c r="G8" s="193"/>
    </row>
    <row r="9" spans="1:15" ht="39" customHeight="1" x14ac:dyDescent="0.25">
      <c r="A9" s="194" t="s">
        <v>94</v>
      </c>
      <c r="B9" s="195"/>
      <c r="C9" s="195"/>
      <c r="D9" s="195"/>
      <c r="E9" s="195"/>
      <c r="F9" s="195"/>
      <c r="G9" s="196"/>
      <c r="H9" s="101"/>
      <c r="I9" s="46"/>
      <c r="J9" s="46"/>
      <c r="K9" s="46"/>
      <c r="L9" s="46"/>
      <c r="M9" s="46"/>
      <c r="N9" s="46"/>
      <c r="O9" s="46"/>
    </row>
    <row r="10" spans="1:15" s="51" customFormat="1" ht="30.75" customHeight="1" x14ac:dyDescent="0.25">
      <c r="A10" s="47" t="s">
        <v>33</v>
      </c>
      <c r="B10" s="48" t="s">
        <v>7</v>
      </c>
      <c r="C10" s="49" t="s">
        <v>34</v>
      </c>
      <c r="D10" s="50" t="s">
        <v>35</v>
      </c>
      <c r="E10" s="50" t="s">
        <v>67</v>
      </c>
      <c r="F10" s="50" t="s">
        <v>66</v>
      </c>
      <c r="G10" s="50" t="s">
        <v>65</v>
      </c>
      <c r="H10" s="102"/>
    </row>
    <row r="11" spans="1:15" x14ac:dyDescent="0.25">
      <c r="A11" s="38">
        <v>46074</v>
      </c>
      <c r="B11" s="43" t="s">
        <v>81</v>
      </c>
      <c r="C11" s="44" t="s">
        <v>82</v>
      </c>
      <c r="E11" s="119">
        <v>350</v>
      </c>
      <c r="F11" s="103"/>
      <c r="G11" s="41"/>
    </row>
    <row r="12" spans="1:15" x14ac:dyDescent="0.25">
      <c r="A12" s="42"/>
      <c r="B12" s="43" t="s">
        <v>95</v>
      </c>
      <c r="D12" s="117">
        <v>900</v>
      </c>
      <c r="E12" s="119"/>
      <c r="F12" s="104"/>
      <c r="G12" s="45"/>
    </row>
    <row r="13" spans="1:15" x14ac:dyDescent="0.25">
      <c r="A13" s="42">
        <v>46075</v>
      </c>
      <c r="B13" s="70" t="s">
        <v>68</v>
      </c>
      <c r="C13" s="71"/>
      <c r="D13" s="104">
        <v>1755</v>
      </c>
      <c r="E13" s="104"/>
      <c r="F13" s="104"/>
      <c r="G13" s="45"/>
    </row>
    <row r="14" spans="1:15" x14ac:dyDescent="0.25">
      <c r="A14" s="42"/>
      <c r="B14" s="70" t="s">
        <v>69</v>
      </c>
      <c r="C14" s="71"/>
      <c r="D14" s="104">
        <v>1605</v>
      </c>
      <c r="E14" s="104"/>
      <c r="F14" s="104"/>
      <c r="G14" s="45"/>
    </row>
    <row r="15" spans="1:15" x14ac:dyDescent="0.25">
      <c r="A15" s="42"/>
      <c r="B15" s="70" t="s">
        <v>70</v>
      </c>
      <c r="C15" s="71" t="s">
        <v>71</v>
      </c>
      <c r="D15" s="104">
        <v>580</v>
      </c>
      <c r="E15" s="104"/>
      <c r="F15" s="104"/>
      <c r="G15" s="45"/>
    </row>
    <row r="16" spans="1:15" x14ac:dyDescent="0.25">
      <c r="A16" s="42"/>
      <c r="B16" s="70" t="s">
        <v>72</v>
      </c>
      <c r="C16" s="71" t="s">
        <v>73</v>
      </c>
      <c r="D16" s="104">
        <v>1440</v>
      </c>
      <c r="E16" s="104"/>
      <c r="F16" s="104"/>
      <c r="G16" s="45"/>
    </row>
    <row r="17" spans="1:7" x14ac:dyDescent="0.25">
      <c r="A17" s="42"/>
      <c r="B17" s="70" t="s">
        <v>74</v>
      </c>
      <c r="C17" s="71" t="s">
        <v>75</v>
      </c>
      <c r="D17" s="104">
        <v>900</v>
      </c>
      <c r="E17" s="104"/>
      <c r="F17" s="104"/>
      <c r="G17" s="45"/>
    </row>
    <row r="18" spans="1:7" x14ac:dyDescent="0.25">
      <c r="A18" s="42"/>
      <c r="B18" s="70" t="s">
        <v>76</v>
      </c>
      <c r="C18" s="71" t="s">
        <v>77</v>
      </c>
      <c r="D18" s="104">
        <v>237.5</v>
      </c>
      <c r="E18" s="104"/>
      <c r="F18" s="104"/>
      <c r="G18" s="45"/>
    </row>
    <row r="19" spans="1:7" x14ac:dyDescent="0.25">
      <c r="A19" s="42"/>
      <c r="B19" s="70" t="s">
        <v>78</v>
      </c>
      <c r="C19" s="71" t="s">
        <v>79</v>
      </c>
      <c r="D19" s="104">
        <v>258</v>
      </c>
      <c r="E19" s="104"/>
      <c r="F19" s="104"/>
      <c r="G19" s="45"/>
    </row>
    <row r="20" spans="1:7" x14ac:dyDescent="0.25">
      <c r="A20" s="42"/>
      <c r="B20" s="43" t="s">
        <v>96</v>
      </c>
      <c r="D20" s="117">
        <v>1100</v>
      </c>
      <c r="G20" s="45"/>
    </row>
    <row r="21" spans="1:7" x14ac:dyDescent="0.25">
      <c r="A21" s="42"/>
      <c r="B21" s="70" t="s">
        <v>65</v>
      </c>
      <c r="C21" s="71"/>
      <c r="D21" s="104"/>
      <c r="E21" s="104"/>
      <c r="F21" s="104"/>
      <c r="G21" s="55">
        <v>3000</v>
      </c>
    </row>
    <row r="22" spans="1:7" x14ac:dyDescent="0.25">
      <c r="B22" s="43" t="s">
        <v>80</v>
      </c>
      <c r="F22" s="117">
        <v>220</v>
      </c>
      <c r="G22" s="45"/>
    </row>
    <row r="23" spans="1:7" x14ac:dyDescent="0.25">
      <c r="A23" s="42"/>
      <c r="B23" s="70"/>
      <c r="C23" s="75"/>
      <c r="D23" s="105"/>
      <c r="E23" s="105"/>
      <c r="F23" s="105"/>
      <c r="G23" s="106"/>
    </row>
    <row r="24" spans="1:7" x14ac:dyDescent="0.25">
      <c r="A24" s="42"/>
      <c r="B24" s="70"/>
      <c r="C24" s="75"/>
      <c r="D24" s="105"/>
      <c r="E24" s="105"/>
      <c r="F24" s="105"/>
      <c r="G24" s="106"/>
    </row>
    <row r="25" spans="1:7" x14ac:dyDescent="0.25">
      <c r="A25" s="42"/>
      <c r="B25" s="70"/>
      <c r="C25" s="75"/>
      <c r="D25" s="105"/>
      <c r="E25" s="105"/>
      <c r="F25" s="105"/>
      <c r="G25" s="106"/>
    </row>
    <row r="26" spans="1:7" x14ac:dyDescent="0.25">
      <c r="A26" s="42"/>
      <c r="B26" s="70"/>
      <c r="C26" s="75"/>
      <c r="D26" s="105"/>
      <c r="E26" s="105"/>
      <c r="F26" s="105"/>
      <c r="G26" s="106"/>
    </row>
    <row r="27" spans="1:7" x14ac:dyDescent="0.25">
      <c r="A27" s="42"/>
      <c r="B27" s="70"/>
      <c r="C27" s="75"/>
      <c r="D27" s="105"/>
      <c r="E27" s="105"/>
      <c r="F27" s="105"/>
      <c r="G27" s="106"/>
    </row>
    <row r="28" spans="1:7" x14ac:dyDescent="0.25">
      <c r="A28" s="42"/>
      <c r="B28" s="70"/>
      <c r="C28" s="75"/>
      <c r="D28" s="105"/>
      <c r="E28" s="105"/>
      <c r="F28" s="105"/>
      <c r="G28" s="107"/>
    </row>
    <row r="29" spans="1:7" x14ac:dyDescent="0.25">
      <c r="A29" s="42"/>
      <c r="B29" s="70"/>
      <c r="C29" s="75"/>
      <c r="D29" s="105"/>
      <c r="E29" s="105"/>
      <c r="F29" s="105"/>
      <c r="G29" s="107"/>
    </row>
    <row r="30" spans="1:7" x14ac:dyDescent="0.25">
      <c r="A30" s="42"/>
      <c r="B30" s="70"/>
      <c r="C30" s="75"/>
      <c r="D30" s="105"/>
      <c r="E30" s="105"/>
      <c r="F30" s="105"/>
      <c r="G30" s="107"/>
    </row>
    <row r="31" spans="1:7" x14ac:dyDescent="0.25">
      <c r="A31" s="42"/>
      <c r="B31" s="70"/>
      <c r="C31" s="75"/>
      <c r="D31" s="105"/>
      <c r="E31" s="105"/>
      <c r="F31" s="105"/>
      <c r="G31" s="107"/>
    </row>
    <row r="32" spans="1:7" x14ac:dyDescent="0.25">
      <c r="A32" s="42"/>
      <c r="B32" s="70"/>
      <c r="C32" s="75"/>
      <c r="D32" s="105"/>
      <c r="E32" s="105"/>
      <c r="F32" s="105"/>
      <c r="G32" s="107"/>
    </row>
    <row r="33" spans="1:7" x14ac:dyDescent="0.25">
      <c r="A33" s="42"/>
      <c r="B33" s="70"/>
      <c r="C33" s="75"/>
      <c r="D33" s="110"/>
      <c r="E33" s="110"/>
      <c r="F33" s="110"/>
      <c r="G33" s="118"/>
    </row>
    <row r="34" spans="1:7" x14ac:dyDescent="0.25">
      <c r="A34" s="42"/>
      <c r="B34" s="70"/>
      <c r="C34" s="75"/>
      <c r="D34" s="120">
        <f>SUM(D11:D24)</f>
        <v>8775.5</v>
      </c>
      <c r="E34" s="120">
        <f>SUM(E11:E24)</f>
        <v>350</v>
      </c>
      <c r="F34" s="120">
        <f>SUM(F11:F24)</f>
        <v>220</v>
      </c>
      <c r="G34" s="121">
        <f>SUM(G11:G24)</f>
        <v>3000</v>
      </c>
    </row>
    <row r="35" spans="1:7" ht="15.75" x14ac:dyDescent="0.25">
      <c r="A35" s="42"/>
      <c r="B35" s="70"/>
      <c r="C35" s="76" t="s">
        <v>36</v>
      </c>
      <c r="D35" s="124">
        <f>SUM(D34:G34)</f>
        <v>12345.5</v>
      </c>
      <c r="E35" s="108"/>
      <c r="F35" s="108"/>
      <c r="G35" s="109"/>
    </row>
    <row r="36" spans="1:7" ht="15.75" x14ac:dyDescent="0.25">
      <c r="A36" s="42"/>
      <c r="B36" s="70"/>
      <c r="C36" s="76"/>
      <c r="D36" s="108"/>
      <c r="E36" s="108"/>
      <c r="F36" s="108"/>
      <c r="G36" s="109"/>
    </row>
    <row r="37" spans="1:7" x14ac:dyDescent="0.25">
      <c r="A37" s="42"/>
      <c r="B37" s="70"/>
      <c r="C37" s="73"/>
      <c r="D37" s="123"/>
      <c r="E37" s="100"/>
      <c r="F37" s="100"/>
      <c r="G37" s="45"/>
    </row>
    <row r="38" spans="1:7" x14ac:dyDescent="0.25">
      <c r="A38" s="60"/>
      <c r="B38" s="61"/>
      <c r="C38" s="62"/>
      <c r="D38" s="110"/>
      <c r="E38" s="110"/>
      <c r="F38" s="110"/>
      <c r="G38" s="111"/>
    </row>
    <row r="39" spans="1:7" ht="15.75" x14ac:dyDescent="0.25">
      <c r="A39" s="64" t="s">
        <v>16</v>
      </c>
      <c r="B39" s="30"/>
      <c r="C39" s="65" t="s">
        <v>37</v>
      </c>
      <c r="D39" s="112"/>
      <c r="E39" s="112"/>
      <c r="F39" s="112"/>
      <c r="G39" s="45"/>
    </row>
    <row r="40" spans="1:7" ht="15.75" x14ac:dyDescent="0.25">
      <c r="A40" s="66"/>
      <c r="B40" s="77"/>
      <c r="C40" s="77"/>
      <c r="D40" s="113"/>
      <c r="E40" s="113"/>
      <c r="F40" s="113"/>
      <c r="G40" s="45"/>
    </row>
    <row r="41" spans="1:7" ht="15.75" x14ac:dyDescent="0.25">
      <c r="A41" s="66"/>
      <c r="B41" s="77"/>
      <c r="C41" s="77"/>
      <c r="D41" s="113"/>
      <c r="E41" s="113"/>
      <c r="F41" s="113"/>
      <c r="G41" s="45"/>
    </row>
    <row r="42" spans="1:7" x14ac:dyDescent="0.25">
      <c r="A42" s="180" t="s">
        <v>19</v>
      </c>
      <c r="B42" s="181"/>
      <c r="C42" s="141" t="s">
        <v>20</v>
      </c>
      <c r="D42" s="141"/>
      <c r="E42" s="141"/>
      <c r="F42" s="141"/>
      <c r="G42" s="142"/>
    </row>
    <row r="43" spans="1:7" x14ac:dyDescent="0.25">
      <c r="A43" s="178" t="s">
        <v>22</v>
      </c>
      <c r="B43" s="179"/>
      <c r="C43" s="126" t="s">
        <v>23</v>
      </c>
      <c r="D43" s="126"/>
      <c r="E43" s="126"/>
      <c r="F43" s="126"/>
      <c r="G43" s="127"/>
    </row>
    <row r="44" spans="1:7" x14ac:dyDescent="0.25">
      <c r="A44" s="133" t="s">
        <v>38</v>
      </c>
      <c r="B44" s="134"/>
      <c r="C44" s="134"/>
      <c r="D44" s="134"/>
      <c r="E44" s="134"/>
      <c r="F44" s="134"/>
      <c r="G44" s="135"/>
    </row>
    <row r="45" spans="1:7" ht="15.75" x14ac:dyDescent="0.25">
      <c r="A45" s="66"/>
      <c r="B45" s="77"/>
      <c r="C45" s="77"/>
      <c r="D45" s="113"/>
      <c r="E45" s="113"/>
      <c r="F45" s="113"/>
      <c r="G45" s="114"/>
    </row>
    <row r="46" spans="1:7" ht="15.75" x14ac:dyDescent="0.25">
      <c r="A46" s="66"/>
      <c r="B46" s="77"/>
      <c r="C46" s="77"/>
      <c r="D46" s="113"/>
      <c r="E46" s="113"/>
      <c r="F46" s="113"/>
      <c r="G46" s="114"/>
    </row>
    <row r="47" spans="1:7" x14ac:dyDescent="0.25">
      <c r="A47" s="136" t="s">
        <v>28</v>
      </c>
      <c r="B47" s="137"/>
      <c r="C47" s="137"/>
      <c r="D47" s="137"/>
      <c r="E47" s="137"/>
      <c r="F47" s="137"/>
      <c r="G47" s="138"/>
    </row>
    <row r="48" spans="1:7" x14ac:dyDescent="0.25">
      <c r="A48" s="125" t="s">
        <v>30</v>
      </c>
      <c r="B48" s="126"/>
      <c r="C48" s="126"/>
      <c r="D48" s="126"/>
      <c r="E48" s="126"/>
      <c r="F48" s="126"/>
      <c r="G48" s="127"/>
    </row>
    <row r="53" spans="2:6" x14ac:dyDescent="0.25">
      <c r="B53" s="176"/>
      <c r="C53" s="176"/>
      <c r="D53" s="115"/>
      <c r="E53" s="115"/>
      <c r="F53" s="115"/>
    </row>
    <row r="54" spans="2:6" x14ac:dyDescent="0.25">
      <c r="B54" s="175"/>
      <c r="C54" s="175"/>
      <c r="D54" s="116"/>
      <c r="E54" s="116"/>
      <c r="F54" s="116"/>
    </row>
    <row r="55" spans="2:6" x14ac:dyDescent="0.25">
      <c r="B55" s="69"/>
      <c r="C55" s="54"/>
      <c r="D55" s="116"/>
      <c r="E55" s="116"/>
      <c r="F55" s="116"/>
    </row>
    <row r="59" spans="2:6" x14ac:dyDescent="0.25">
      <c r="B59" s="176"/>
      <c r="C59" s="176"/>
      <c r="D59" s="115"/>
      <c r="E59" s="115"/>
      <c r="F59" s="115"/>
    </row>
    <row r="60" spans="2:6" x14ac:dyDescent="0.25">
      <c r="B60" s="177"/>
      <c r="C60" s="177"/>
    </row>
  </sheetData>
  <mergeCells count="16">
    <mergeCell ref="B54:C54"/>
    <mergeCell ref="B59:C59"/>
    <mergeCell ref="B60:C60"/>
    <mergeCell ref="A43:B43"/>
    <mergeCell ref="C43:G43"/>
    <mergeCell ref="A44:G44"/>
    <mergeCell ref="A47:G47"/>
    <mergeCell ref="A48:G48"/>
    <mergeCell ref="B53:C53"/>
    <mergeCell ref="A42:B42"/>
    <mergeCell ref="C42:G42"/>
    <mergeCell ref="A5:G5"/>
    <mergeCell ref="A6:G6"/>
    <mergeCell ref="A7:G7"/>
    <mergeCell ref="A8:G8"/>
    <mergeCell ref="A9:G9"/>
  </mergeCells>
  <pageMargins left="0.7" right="0.7" top="0.75" bottom="0.75" header="0.3" footer="0.3"/>
  <pageSetup paperSize="9" scale="97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024</vt:lpstr>
      <vt:lpstr>024 - sd</vt:lpstr>
      <vt:lpstr>025</vt:lpstr>
      <vt:lpstr>025 - 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2026-02-25T01:41:36Z</cp:lastPrinted>
  <dcterms:created xsi:type="dcterms:W3CDTF">2026-02-13T02:46:27Z</dcterms:created>
  <dcterms:modified xsi:type="dcterms:W3CDTF">2026-04-06T01:04:28Z</dcterms:modified>
</cp:coreProperties>
</file>