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dc\GSP Financial Docs\FEBRUARY 2026\"/>
    </mc:Choice>
  </mc:AlternateContent>
  <xr:revisionPtr revIDLastSave="0" documentId="13_ncr:1_{BA278312-9E08-430F-A761-2FF120AD01A2}" xr6:coauthVersionLast="45" xr6:coauthVersionMax="45" xr10:uidLastSave="{00000000-0000-0000-0000-000000000000}"/>
  <bookViews>
    <workbookView xWindow="-120" yWindow="-120" windowWidth="29040" windowHeight="15720" xr2:uid="{511744EF-742B-4C68-A8B8-8119277F3736}"/>
  </bookViews>
  <sheets>
    <sheet name="Cash Disbursement" sheetId="1" r:id="rId1"/>
    <sheet name="Cash Receipt" sheetId="2" r:id="rId2"/>
    <sheet name="SUMMARY" sheetId="3" r:id="rId3"/>
    <sheet name="FOR BUDG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5" i="2" l="1"/>
  <c r="AG52" i="1" l="1"/>
  <c r="AI52" i="1" l="1"/>
  <c r="AF52" i="1"/>
  <c r="T52" i="1"/>
  <c r="S52" i="1"/>
  <c r="P52" i="1"/>
  <c r="O52" i="1"/>
  <c r="N52" i="1"/>
  <c r="M52" i="1"/>
  <c r="L52" i="1"/>
  <c r="K52" i="1"/>
  <c r="J52" i="1"/>
  <c r="AH85" i="2"/>
  <c r="AE85" i="2"/>
  <c r="AC85" i="2"/>
  <c r="AB85" i="2"/>
  <c r="AA85" i="2"/>
  <c r="Z85" i="2"/>
  <c r="Y85" i="2"/>
  <c r="W85" i="2"/>
  <c r="T85" i="2"/>
  <c r="R85" i="2"/>
  <c r="P85" i="2"/>
  <c r="N85" i="2"/>
  <c r="O85" i="2"/>
  <c r="Q85" i="2"/>
  <c r="S85" i="2"/>
  <c r="U85" i="2"/>
  <c r="V85" i="2"/>
  <c r="X85" i="2"/>
  <c r="AD85" i="2"/>
  <c r="AF85" i="2"/>
  <c r="AG85" i="2"/>
  <c r="AI85" i="2"/>
  <c r="AJ85" i="2"/>
  <c r="AK85" i="2"/>
  <c r="L85" i="2"/>
  <c r="AM60" i="2" l="1"/>
  <c r="AN74" i="2" l="1"/>
  <c r="AQ74" i="2"/>
  <c r="E107" i="3" l="1"/>
  <c r="G119" i="3" s="1"/>
  <c r="E118" i="3"/>
  <c r="E110" i="3"/>
  <c r="E96" i="3"/>
  <c r="E84" i="3"/>
  <c r="E80" i="3"/>
  <c r="G97" i="3" s="1"/>
  <c r="E54" i="3"/>
  <c r="G40" i="3"/>
  <c r="G41" i="3" s="1"/>
  <c r="E39" i="3"/>
  <c r="E36" i="3"/>
  <c r="E33" i="3"/>
  <c r="E26" i="3"/>
  <c r="E23" i="3"/>
  <c r="G52" i="1"/>
  <c r="H52" i="1"/>
  <c r="I52" i="1"/>
  <c r="Q52" i="1"/>
  <c r="R52" i="1"/>
  <c r="U52" i="1"/>
  <c r="V52" i="1"/>
  <c r="W52" i="1"/>
  <c r="X52" i="1"/>
  <c r="Y52" i="1"/>
  <c r="Z52" i="1"/>
  <c r="AA52" i="1"/>
  <c r="AB52" i="1"/>
  <c r="AC52" i="1"/>
  <c r="AD52" i="1"/>
  <c r="AE52" i="1"/>
  <c r="AH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F52" i="1"/>
  <c r="G98" i="3" l="1"/>
  <c r="H101" i="3"/>
  <c r="BO47" i="1"/>
  <c r="BO48" i="1"/>
  <c r="BO49" i="1"/>
  <c r="BO50" i="1"/>
  <c r="BO51" i="1"/>
  <c r="BN47" i="1"/>
  <c r="BP47" i="1" s="1"/>
  <c r="BN48" i="1"/>
  <c r="BP48" i="1" s="1"/>
  <c r="BN49" i="1"/>
  <c r="BP49" i="1" s="1"/>
  <c r="BN50" i="1"/>
  <c r="BP50" i="1" s="1"/>
  <c r="BN51" i="1"/>
  <c r="BP51" i="1" s="1"/>
  <c r="AN11" i="2"/>
  <c r="AO11" i="2" s="1"/>
  <c r="AN12" i="2"/>
  <c r="AO12" i="2" s="1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O30" i="2" s="1"/>
  <c r="AN31" i="2"/>
  <c r="AN32" i="2"/>
  <c r="AO32" i="2" s="1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O50" i="2" s="1"/>
  <c r="AN51" i="2"/>
  <c r="AO51" i="2" s="1"/>
  <c r="AN52" i="2"/>
  <c r="AO52" i="2" s="1"/>
  <c r="AN53" i="2"/>
  <c r="AN54" i="2"/>
  <c r="AN55" i="2"/>
  <c r="AN56" i="2"/>
  <c r="AN57" i="2"/>
  <c r="AN58" i="2"/>
  <c r="AN59" i="2"/>
  <c r="AM11" i="2"/>
  <c r="AM12" i="2"/>
  <c r="AM13" i="2"/>
  <c r="AM14" i="2"/>
  <c r="AM15" i="2"/>
  <c r="AM16" i="2"/>
  <c r="AM17" i="2"/>
  <c r="AM18" i="2"/>
  <c r="AM19" i="2"/>
  <c r="AO19" i="2" s="1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O39" i="2" s="1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O59" i="2" s="1"/>
  <c r="AO38" i="2" l="1"/>
  <c r="AO58" i="2"/>
  <c r="AO49" i="2"/>
  <c r="AO29" i="2"/>
  <c r="AO18" i="2"/>
  <c r="AO57" i="2"/>
  <c r="AO28" i="2"/>
  <c r="AO17" i="2"/>
  <c r="AO48" i="2"/>
  <c r="AO37" i="2"/>
  <c r="AO36" i="2"/>
  <c r="AO35" i="2"/>
  <c r="AO34" i="2"/>
  <c r="AO33" i="2"/>
  <c r="AO56" i="2"/>
  <c r="AO16" i="2"/>
  <c r="AO26" i="2"/>
  <c r="AO55" i="2"/>
  <c r="AO15" i="2"/>
  <c r="AO45" i="2"/>
  <c r="AO25" i="2"/>
  <c r="AO54" i="2"/>
  <c r="AO14" i="2"/>
  <c r="AO53" i="2"/>
  <c r="AO13" i="2"/>
  <c r="AO47" i="2"/>
  <c r="AO27" i="2"/>
  <c r="AO46" i="2"/>
  <c r="AO44" i="2"/>
  <c r="AO24" i="2"/>
  <c r="AO43" i="2"/>
  <c r="AO42" i="2"/>
  <c r="AO22" i="2"/>
  <c r="AO41" i="2"/>
  <c r="AO21" i="2"/>
  <c r="AO31" i="2"/>
  <c r="AO40" i="2"/>
  <c r="AO20" i="2"/>
  <c r="AO23" i="2"/>
  <c r="BO40" i="1"/>
  <c r="BO39" i="1"/>
  <c r="BO38" i="1"/>
  <c r="BO37" i="1"/>
  <c r="BO36" i="1"/>
  <c r="E122" i="4" l="1"/>
  <c r="E114" i="4"/>
  <c r="E111" i="4"/>
  <c r="G123" i="4" s="1"/>
  <c r="E101" i="4"/>
  <c r="E93" i="4"/>
  <c r="G102" i="4" s="1"/>
  <c r="E86" i="4"/>
  <c r="E42" i="4"/>
  <c r="E38" i="4"/>
  <c r="E32" i="4"/>
  <c r="E35" i="4" s="1"/>
  <c r="E28" i="4"/>
  <c r="E14" i="4"/>
  <c r="E25" i="4" s="1"/>
  <c r="G43" i="4" s="1"/>
  <c r="G44" i="4" s="1"/>
  <c r="G103" i="4" s="1"/>
  <c r="H106" i="4" s="1"/>
  <c r="H85" i="2" l="1"/>
  <c r="I85" i="2"/>
  <c r="J85" i="2"/>
  <c r="K85" i="2"/>
  <c r="M85" i="2"/>
  <c r="BN11" i="1" l="1"/>
  <c r="BN14" i="1" l="1"/>
  <c r="BO14" i="1"/>
  <c r="BN15" i="1"/>
  <c r="BO15" i="1"/>
  <c r="BN18" i="1"/>
  <c r="BO18" i="1"/>
  <c r="BN24" i="1"/>
  <c r="BO24" i="1"/>
  <c r="BN28" i="1"/>
  <c r="BO28" i="1"/>
  <c r="BN29" i="1"/>
  <c r="BO29" i="1"/>
  <c r="BN30" i="1"/>
  <c r="BO30" i="1"/>
  <c r="BN31" i="1"/>
  <c r="BO31" i="1"/>
  <c r="BN33" i="1"/>
  <c r="BO33" i="1"/>
  <c r="BN34" i="1"/>
  <c r="BO34" i="1"/>
  <c r="BN35" i="1"/>
  <c r="BO35" i="1"/>
  <c r="BN41" i="1"/>
  <c r="BO41" i="1"/>
  <c r="BN42" i="1"/>
  <c r="BO42" i="1"/>
  <c r="BN43" i="1"/>
  <c r="BO43" i="1"/>
  <c r="BN45" i="1"/>
  <c r="BO45" i="1"/>
  <c r="BN46" i="1"/>
  <c r="BO46" i="1"/>
  <c r="BO11" i="1"/>
  <c r="BP11" i="1" s="1"/>
  <c r="BP34" i="1" l="1"/>
  <c r="BP29" i="1"/>
  <c r="BP45" i="1"/>
  <c r="BP15" i="1"/>
  <c r="BP31" i="1"/>
  <c r="BP18" i="1"/>
  <c r="BP46" i="1"/>
  <c r="BP28" i="1"/>
  <c r="BP42" i="1"/>
  <c r="BP41" i="1"/>
  <c r="BP35" i="1"/>
  <c r="BP33" i="1"/>
  <c r="BP24" i="1"/>
  <c r="BP14" i="1"/>
  <c r="BP43" i="1"/>
  <c r="BP30" i="1"/>
  <c r="AN136" i="2" l="1"/>
  <c r="AM136" i="2"/>
  <c r="AN135" i="2"/>
  <c r="AM135" i="2"/>
  <c r="AN134" i="2"/>
  <c r="AM134" i="2"/>
  <c r="AN133" i="2"/>
  <c r="AM133" i="2"/>
  <c r="AN132" i="2"/>
  <c r="AM132" i="2"/>
  <c r="AN131" i="2"/>
  <c r="AM131" i="2"/>
  <c r="AN130" i="2"/>
  <c r="AM130" i="2"/>
  <c r="AN129" i="2"/>
  <c r="AM129" i="2"/>
  <c r="AN128" i="2"/>
  <c r="AM128" i="2"/>
  <c r="AN127" i="2"/>
  <c r="AM127" i="2"/>
  <c r="AN126" i="2"/>
  <c r="AM126" i="2"/>
  <c r="AO126" i="2" s="1"/>
  <c r="AN125" i="2"/>
  <c r="AM125" i="2"/>
  <c r="AN124" i="2"/>
  <c r="AM124" i="2"/>
  <c r="AN123" i="2"/>
  <c r="AM123" i="2"/>
  <c r="AN122" i="2"/>
  <c r="AM122" i="2"/>
  <c r="AN121" i="2"/>
  <c r="AM121" i="2"/>
  <c r="AN120" i="2"/>
  <c r="AM120" i="2"/>
  <c r="AN119" i="2"/>
  <c r="AM119" i="2"/>
  <c r="AN118" i="2"/>
  <c r="AM118" i="2"/>
  <c r="AN117" i="2"/>
  <c r="AM117" i="2"/>
  <c r="AN116" i="2"/>
  <c r="AM116" i="2"/>
  <c r="AO116" i="2" s="1"/>
  <c r="AN115" i="2"/>
  <c r="AM115" i="2"/>
  <c r="AN114" i="2"/>
  <c r="AM114" i="2"/>
  <c r="AN113" i="2"/>
  <c r="AM113" i="2"/>
  <c r="AN112" i="2"/>
  <c r="AM112" i="2"/>
  <c r="AN111" i="2"/>
  <c r="AM111" i="2"/>
  <c r="AN110" i="2"/>
  <c r="AM110" i="2"/>
  <c r="AN109" i="2"/>
  <c r="AM109" i="2"/>
  <c r="AN108" i="2"/>
  <c r="AM108" i="2"/>
  <c r="AN107" i="2"/>
  <c r="AM107" i="2"/>
  <c r="AN106" i="2"/>
  <c r="AM106" i="2"/>
  <c r="AO106" i="2" s="1"/>
  <c r="AN105" i="2"/>
  <c r="AM105" i="2"/>
  <c r="AN104" i="2"/>
  <c r="AM104" i="2"/>
  <c r="AN103" i="2"/>
  <c r="AM103" i="2"/>
  <c r="AN102" i="2"/>
  <c r="AM102" i="2"/>
  <c r="AN101" i="2"/>
  <c r="AM101" i="2"/>
  <c r="AN100" i="2"/>
  <c r="AM100" i="2"/>
  <c r="AN99" i="2"/>
  <c r="AM99" i="2"/>
  <c r="AN98" i="2"/>
  <c r="AM98" i="2"/>
  <c r="AN97" i="2"/>
  <c r="AM97" i="2"/>
  <c r="AN96" i="2"/>
  <c r="AM96" i="2"/>
  <c r="AO96" i="2" s="1"/>
  <c r="AN95" i="2"/>
  <c r="AM95" i="2"/>
  <c r="AN94" i="2"/>
  <c r="AM94" i="2"/>
  <c r="AN93" i="2"/>
  <c r="AM93" i="2"/>
  <c r="AN92" i="2"/>
  <c r="AM92" i="2"/>
  <c r="AN91" i="2"/>
  <c r="AM91" i="2"/>
  <c r="AN90" i="2"/>
  <c r="AM90" i="2"/>
  <c r="AN89" i="2"/>
  <c r="AM89" i="2"/>
  <c r="AN88" i="2"/>
  <c r="AM88" i="2"/>
  <c r="AQ83" i="2"/>
  <c r="AP83" i="2"/>
  <c r="AN83" i="2"/>
  <c r="AM83" i="2"/>
  <c r="AQ82" i="2"/>
  <c r="AP82" i="2"/>
  <c r="AN82" i="2"/>
  <c r="AM82" i="2"/>
  <c r="AQ73" i="2"/>
  <c r="AP73" i="2"/>
  <c r="AN73" i="2"/>
  <c r="AM73" i="2"/>
  <c r="AQ72" i="2"/>
  <c r="AP72" i="2"/>
  <c r="AN72" i="2"/>
  <c r="AM72" i="2"/>
  <c r="AQ71" i="2"/>
  <c r="AP71" i="2"/>
  <c r="AN71" i="2"/>
  <c r="AM71" i="2"/>
  <c r="AQ70" i="2"/>
  <c r="AP70" i="2"/>
  <c r="AN70" i="2"/>
  <c r="AM70" i="2"/>
  <c r="AQ69" i="2"/>
  <c r="AP69" i="2"/>
  <c r="AN69" i="2"/>
  <c r="AM69" i="2"/>
  <c r="AQ68" i="2"/>
  <c r="AP68" i="2"/>
  <c r="AN68" i="2"/>
  <c r="AM68" i="2"/>
  <c r="AQ66" i="2"/>
  <c r="AP66" i="2"/>
  <c r="AN66" i="2"/>
  <c r="AM66" i="2"/>
  <c r="AQ65" i="2"/>
  <c r="AP65" i="2"/>
  <c r="AN65" i="2"/>
  <c r="AM65" i="2"/>
  <c r="AQ64" i="2"/>
  <c r="AP64" i="2"/>
  <c r="AN64" i="2"/>
  <c r="AM64" i="2"/>
  <c r="AQ63" i="2"/>
  <c r="AP63" i="2"/>
  <c r="AN63" i="2"/>
  <c r="AM63" i="2"/>
  <c r="AQ62" i="2"/>
  <c r="AP62" i="2"/>
  <c r="AN62" i="2"/>
  <c r="AM62" i="2"/>
  <c r="AQ61" i="2"/>
  <c r="AP61" i="2"/>
  <c r="AN61" i="2"/>
  <c r="AM61" i="2"/>
  <c r="AQ60" i="2"/>
  <c r="AP60" i="2"/>
  <c r="AN60" i="2"/>
  <c r="AO60" i="2" s="1"/>
  <c r="J75" i="1"/>
  <c r="J74" i="1"/>
  <c r="K71" i="1"/>
  <c r="AO102" i="2" l="1"/>
  <c r="AO95" i="2"/>
  <c r="AO115" i="2"/>
  <c r="AO105" i="2"/>
  <c r="AO127" i="2"/>
  <c r="AO136" i="2"/>
  <c r="AO124" i="2"/>
  <c r="AO134" i="2"/>
  <c r="AO107" i="2"/>
  <c r="AO98" i="2"/>
  <c r="AO100" i="2"/>
  <c r="AO120" i="2"/>
  <c r="AO89" i="2"/>
  <c r="AO99" i="2"/>
  <c r="AO109" i="2"/>
  <c r="AO119" i="2"/>
  <c r="AO129" i="2"/>
  <c r="AO91" i="2"/>
  <c r="AO101" i="2"/>
  <c r="AO111" i="2"/>
  <c r="AO103" i="2"/>
  <c r="AO121" i="2"/>
  <c r="AO88" i="2"/>
  <c r="AO118" i="2"/>
  <c r="AO93" i="2"/>
  <c r="AO113" i="2"/>
  <c r="AO122" i="2"/>
  <c r="AO132" i="2"/>
  <c r="AO104" i="2"/>
  <c r="AO114" i="2"/>
  <c r="AO123" i="2"/>
  <c r="AO133" i="2"/>
  <c r="AO128" i="2"/>
  <c r="AO110" i="2"/>
  <c r="AO112" i="2"/>
  <c r="AO130" i="2"/>
  <c r="AO94" i="2"/>
  <c r="AO131" i="2"/>
  <c r="AO108" i="2"/>
  <c r="AO90" i="2"/>
  <c r="AO117" i="2"/>
  <c r="AO97" i="2"/>
  <c r="AO125" i="2"/>
  <c r="AO135" i="2"/>
  <c r="AO69" i="2"/>
  <c r="AO82" i="2"/>
  <c r="AR70" i="2"/>
  <c r="AR69" i="2"/>
  <c r="AR82" i="2"/>
  <c r="AO83" i="2"/>
  <c r="AO61" i="2"/>
  <c r="AO66" i="2"/>
  <c r="AO72" i="2"/>
  <c r="AR65" i="2"/>
  <c r="AR83" i="2"/>
  <c r="AO73" i="2"/>
  <c r="AR72" i="2"/>
  <c r="AO71" i="2"/>
  <c r="AO70" i="2"/>
  <c r="AO68" i="2"/>
  <c r="AR68" i="2"/>
  <c r="AR66" i="2"/>
  <c r="AO65" i="2"/>
  <c r="AO64" i="2"/>
  <c r="AO63" i="2"/>
  <c r="AR61" i="2"/>
  <c r="AR60" i="2"/>
  <c r="AR62" i="2"/>
  <c r="AR71" i="2"/>
  <c r="AR73" i="2"/>
  <c r="AR63" i="2"/>
  <c r="AR64" i="2"/>
  <c r="AO62" i="2"/>
  <c r="J76" i="1"/>
  <c r="AO9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3" authorId="0" shapeId="0" xr:uid="{FA57F4A9-4C02-443F-BCCC-B751ABD6C0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Withdrawn on 7/15</t>
        </r>
      </text>
    </comment>
    <comment ref="G64" authorId="0" shapeId="0" xr:uid="{3E87A3C4-A694-4AC6-8CD7-0C5099F126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Withdrawn on 7/15</t>
        </r>
      </text>
    </comment>
    <comment ref="G67" authorId="0" shapeId="0" xr:uid="{DF64FB98-2704-407B-B52F-A03B747AC3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Withdrawn on 7/18</t>
        </r>
      </text>
    </comment>
    <comment ref="G72" authorId="0" shapeId="0" xr:uid="{7A273290-705A-4CAD-A0A1-DB0A35AB89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Withdrawn on 7/24</t>
        </r>
      </text>
    </comment>
    <comment ref="G77" authorId="0" shapeId="0" xr:uid="{8C51D6B6-18AE-4718-B1B4-74F23A4535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Withdrawn on 7/30</t>
        </r>
      </text>
    </comment>
    <comment ref="G80" authorId="0" shapeId="0" xr:uid="{81AD293E-FF52-4183-9F14-B8F1E3C153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Withdrawn on 7/30</t>
        </r>
      </text>
    </comment>
    <comment ref="G83" authorId="0" shapeId="0" xr:uid="{BF2E4DB9-ACC0-4B4C-A4E7-4BEACC21F7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Only the  Employment Share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63" authorId="0" shapeId="0" xr:uid="{890315E9-0831-4E06-9DF7-9FEB2318F9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overdeposit
</t>
        </r>
      </text>
    </comment>
    <comment ref="H71" authorId="0" shapeId="0" xr:uid="{60542C92-D347-4171-8AC4-95DAEC894B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underseposit 17.5</t>
        </r>
      </text>
    </comment>
  </commentList>
</comments>
</file>

<file path=xl/sharedStrings.xml><?xml version="1.0" encoding="utf-8"?>
<sst xmlns="http://schemas.openxmlformats.org/spreadsheetml/2006/main" count="855" uniqueCount="415">
  <si>
    <t>GIRL SCOUTS OF THE PHILIPPINES</t>
  </si>
  <si>
    <t>NORTHERN LUZON REGION</t>
  </si>
  <si>
    <t>ILOCOS SUR COUNCIL</t>
  </si>
  <si>
    <t>CASH DISBURSEMENT</t>
  </si>
  <si>
    <t>MB #01-017000</t>
  </si>
  <si>
    <t>DBP #00-50012</t>
  </si>
  <si>
    <t>DBP #0-50141</t>
  </si>
  <si>
    <t>PNB #22351003</t>
  </si>
  <si>
    <t>PURCHASES</t>
  </si>
  <si>
    <t>CASH ADVANCE</t>
  </si>
  <si>
    <t>SALARIES AND WAGES</t>
  </si>
  <si>
    <t xml:space="preserve">COST OF LIVING </t>
  </si>
  <si>
    <t>REPRESENTATION</t>
  </si>
  <si>
    <t>SSS PREMIUM</t>
  </si>
  <si>
    <t>PHILHEALTH PREMIUM</t>
  </si>
  <si>
    <t>PAG-IBIG PREMIUM</t>
  </si>
  <si>
    <t>TRANSPORTATION AND TRAVEL</t>
  </si>
  <si>
    <t>POSTAGE AND</t>
  </si>
  <si>
    <t>TELEPHONE AND</t>
  </si>
  <si>
    <t>ELECTRIC</t>
  </si>
  <si>
    <t>OFFICE</t>
  </si>
  <si>
    <t>MAINTENANCE</t>
  </si>
  <si>
    <t>GASOLINE AND OIL</t>
  </si>
  <si>
    <t>TRAININGS</t>
  </si>
  <si>
    <t>CONFERENCES</t>
  </si>
  <si>
    <t>BUILDING AND GROUNDS</t>
  </si>
  <si>
    <t>REPAIR AND MAINTENANCE</t>
  </si>
  <si>
    <t>SOUVENIR BOOK</t>
  </si>
  <si>
    <t>MISCELLANEOUS</t>
  </si>
  <si>
    <t>EDUCATIONAL</t>
  </si>
  <si>
    <t>PAG-IBIG</t>
  </si>
  <si>
    <t>PHILHEALTH</t>
  </si>
  <si>
    <t>DEBIT</t>
  </si>
  <si>
    <t>CREDIT</t>
  </si>
  <si>
    <t>DATE</t>
  </si>
  <si>
    <t>PAYEE</t>
  </si>
  <si>
    <t>EXPLANATION</t>
  </si>
  <si>
    <t>CV #</t>
  </si>
  <si>
    <t>CHECK #</t>
  </si>
  <si>
    <t>197-9</t>
  </si>
  <si>
    <t>8590-5</t>
  </si>
  <si>
    <t>590-7</t>
  </si>
  <si>
    <t>NES</t>
  </si>
  <si>
    <t>EXPENSE</t>
  </si>
  <si>
    <t>ALLOWANCE</t>
  </si>
  <si>
    <t>CE</t>
  </si>
  <si>
    <t>FREIGHT</t>
  </si>
  <si>
    <t xml:space="preserve"> COMMUNICATIONS</t>
  </si>
  <si>
    <t>BILL</t>
  </si>
  <si>
    <t>EQUIPMENT</t>
  </si>
  <si>
    <t>SUUPLIES</t>
  </si>
  <si>
    <t>LINENS</t>
  </si>
  <si>
    <t>AND MEETINGS</t>
  </si>
  <si>
    <t>FURNITURE AND FIXTURES</t>
  </si>
  <si>
    <t>TREK</t>
  </si>
  <si>
    <t>PAYABLE</t>
  </si>
  <si>
    <t>CR</t>
  </si>
  <si>
    <t>CR.</t>
  </si>
  <si>
    <t>DR</t>
  </si>
  <si>
    <t>RONAMY ROSARIO-ABLOG</t>
  </si>
  <si>
    <t>CASH RECEIPTS</t>
  </si>
  <si>
    <t xml:space="preserve">DATE </t>
  </si>
  <si>
    <t>CASH ON HAND</t>
  </si>
  <si>
    <t>COUNCIL</t>
  </si>
  <si>
    <t>BARANGAY</t>
  </si>
  <si>
    <t>TROOP</t>
  </si>
  <si>
    <t>ASSOCIATE</t>
  </si>
  <si>
    <t>CSF</t>
  </si>
  <si>
    <t>HONORARY</t>
  </si>
  <si>
    <t>THINKING DAY</t>
  </si>
  <si>
    <t>CAMPING</t>
  </si>
  <si>
    <t>SALES:</t>
  </si>
  <si>
    <t>SALES :</t>
  </si>
  <si>
    <t>INCOME</t>
  </si>
  <si>
    <t xml:space="preserve">SOUVENIR </t>
  </si>
  <si>
    <t>ESCODA</t>
  </si>
  <si>
    <t>ACCOUNTS</t>
  </si>
  <si>
    <t>PROCEEDS</t>
  </si>
  <si>
    <t>UNEXPENDED</t>
  </si>
  <si>
    <t>PAYOR</t>
  </si>
  <si>
    <t>PARTICULARS</t>
  </si>
  <si>
    <t>SI #</t>
  </si>
  <si>
    <t>PURPOSE</t>
  </si>
  <si>
    <t>DEPOSITED</t>
  </si>
  <si>
    <t>SUPPORT FUND</t>
  </si>
  <si>
    <t>COMMITTEE</t>
  </si>
  <si>
    <t>FEES</t>
  </si>
  <si>
    <t>CAREER WOMAN</t>
  </si>
  <si>
    <t>MEMBER</t>
  </si>
  <si>
    <t>FUND</t>
  </si>
  <si>
    <t>N E S</t>
  </si>
  <si>
    <t>SOUVENIR</t>
  </si>
  <si>
    <t>HALL RENTAL</t>
  </si>
  <si>
    <t>SPACE RENTAL</t>
  </si>
  <si>
    <t>ROOM RENTAL</t>
  </si>
  <si>
    <t>BOOK</t>
  </si>
  <si>
    <t>RECEIVABLE</t>
  </si>
  <si>
    <t>CA</t>
  </si>
  <si>
    <t>DR.</t>
  </si>
  <si>
    <t>Membership</t>
  </si>
  <si>
    <t>Rentals</t>
  </si>
  <si>
    <t>NES Sales</t>
  </si>
  <si>
    <t>Deposit of Fees from Registration</t>
  </si>
  <si>
    <t>Payment of Monthly Space Rental</t>
  </si>
  <si>
    <t>STATEMENT OF CASH RECEIPTS &amp; DISBURSEMENTS</t>
  </si>
  <si>
    <t xml:space="preserve">CASH BALANCE AVAILABLE AT THE BEGINNING </t>
  </si>
  <si>
    <t xml:space="preserve">ADD: </t>
  </si>
  <si>
    <t>I.</t>
  </si>
  <si>
    <t>OPERATIONS</t>
  </si>
  <si>
    <t>A.</t>
  </si>
  <si>
    <t>GENERAL OPERATIONS</t>
  </si>
  <si>
    <t>1. Council Support Fund</t>
  </si>
  <si>
    <t>6. ICCG</t>
  </si>
  <si>
    <t>8. Honorary Member</t>
  </si>
  <si>
    <t>10. Proceeds from Outdoor Leadership Course</t>
  </si>
  <si>
    <t>11. Collection of Accounts Receivable</t>
  </si>
  <si>
    <t>SUB-TOTAL</t>
  </si>
  <si>
    <t>B.</t>
  </si>
  <si>
    <t>National Equipment Service (NES)</t>
  </si>
  <si>
    <t>1. Sales: NES Items</t>
  </si>
  <si>
    <t xml:space="preserve">II. </t>
  </si>
  <si>
    <t>RENTAL INCOME</t>
  </si>
  <si>
    <t xml:space="preserve"> 1. Office Space Rental-Maybank </t>
  </si>
  <si>
    <t xml:space="preserve">2. Office/Space Rental-1995 Studio Café </t>
  </si>
  <si>
    <t xml:space="preserve">3. Office/Space Rental- Señorita Dulce </t>
  </si>
  <si>
    <t>4. Hall Rental</t>
  </si>
  <si>
    <t>5. Room Rental</t>
  </si>
  <si>
    <t>III.</t>
  </si>
  <si>
    <t>INTEREST INCOME</t>
  </si>
  <si>
    <t>1. Interest Income from Bank</t>
  </si>
  <si>
    <t>SUB TOTAL</t>
  </si>
  <si>
    <t>IV.</t>
  </si>
  <si>
    <t>OTHER INCOME</t>
  </si>
  <si>
    <t>1. Sales: Souvenir Items</t>
  </si>
  <si>
    <t>TOTAL CASH RECEIPTS</t>
  </si>
  <si>
    <t xml:space="preserve"> TOTAL CASH AVAILABLE</t>
  </si>
  <si>
    <t>LESS:</t>
  </si>
  <si>
    <t>CASH DISBURSEMENTS</t>
  </si>
  <si>
    <t>OPERATING EXPENSES</t>
  </si>
  <si>
    <t>6. Office Equipment</t>
  </si>
  <si>
    <t>NATIONAL EQUIPMENT SERVICES</t>
  </si>
  <si>
    <t>1. Purchases</t>
  </si>
  <si>
    <t>CAPITAL OUTLAY</t>
  </si>
  <si>
    <t>BUILDING</t>
  </si>
  <si>
    <t>1. Repair and Maintenance - Campsite</t>
  </si>
  <si>
    <t>OTHER EXPENSES</t>
  </si>
  <si>
    <t>1. Souvenir Book Expenses</t>
  </si>
  <si>
    <t>TOTAL CASH DISBURSEMENTS</t>
  </si>
  <si>
    <t>ACCOUNTED FOR AS FOLLOWS:</t>
  </si>
  <si>
    <t>I.  OPERATIONS</t>
  </si>
  <si>
    <t>A.  GENERAL OPERATIONS -</t>
  </si>
  <si>
    <t xml:space="preserve">      Cash in Bank, DBP #00500128590-5</t>
  </si>
  <si>
    <t xml:space="preserve">      Petty Cash Fund</t>
  </si>
  <si>
    <t>B.  RETIREMENT FUND</t>
  </si>
  <si>
    <t xml:space="preserve">     Time Deposit,Cordillera Bank #8104</t>
  </si>
  <si>
    <t>II.</t>
  </si>
  <si>
    <t>A.  BUILDING/NES/TRANSITORY FEES</t>
  </si>
  <si>
    <t xml:space="preserve">      Cash in Bank, Maybank  </t>
  </si>
  <si>
    <t xml:space="preserve">      #01-017-00-0197-9</t>
  </si>
  <si>
    <t xml:space="preserve">      Checking Account, DBP</t>
  </si>
  <si>
    <t xml:space="preserve">      #00-0-50141-590-7</t>
  </si>
  <si>
    <t xml:space="preserve">      Cash in Bank, PNB # 223510036978</t>
  </si>
  <si>
    <t>PREPARED BY:</t>
  </si>
  <si>
    <t>ANA MARIE THERESE R. DEL CASTILLO</t>
  </si>
  <si>
    <t>Accounting Clerk</t>
  </si>
  <si>
    <t>CERTIFIED CORRECT:</t>
  </si>
  <si>
    <t>VERIFIED CORRECT:</t>
  </si>
  <si>
    <t>ROSITA P. RIALUBIN, MD</t>
  </si>
  <si>
    <t>Council Auditor</t>
  </si>
  <si>
    <t>APPROVED:</t>
  </si>
  <si>
    <t>MARIANNE R. FLORENDO</t>
  </si>
  <si>
    <t>EVA MARIE S. MEDINA</t>
  </si>
  <si>
    <t>Council President</t>
  </si>
  <si>
    <t>`</t>
  </si>
  <si>
    <t>LEGAL</t>
  </si>
  <si>
    <t>DONATIONS AND</t>
  </si>
  <si>
    <t>CONTRIBUTIONS</t>
  </si>
  <si>
    <t>MEMBERSHIP</t>
  </si>
  <si>
    <t>FEE</t>
  </si>
  <si>
    <t>CLOTHING</t>
  </si>
  <si>
    <t>13TH MONTH</t>
  </si>
  <si>
    <t>PAY</t>
  </si>
  <si>
    <t>OFFICE EQUIPMENT</t>
  </si>
  <si>
    <t>CAMPINGS</t>
  </si>
  <si>
    <t>2. Building Improvement</t>
  </si>
  <si>
    <t>Repair and Maintenance - Furniture and Fixtures</t>
  </si>
  <si>
    <t>Repair and Maintenance - Office Equipment</t>
  </si>
  <si>
    <t>Escoda Fund</t>
  </si>
  <si>
    <t>Educational Trek</t>
  </si>
  <si>
    <t>Accounts Receivable</t>
  </si>
  <si>
    <t>Legal Fees</t>
  </si>
  <si>
    <t>Various Person</t>
  </si>
  <si>
    <t>Ronamy Rosario-Ablog</t>
  </si>
  <si>
    <t>MayBank</t>
  </si>
  <si>
    <t>Souvenir Sales</t>
  </si>
  <si>
    <t>Souvenir</t>
  </si>
  <si>
    <t>DISTRICT</t>
  </si>
  <si>
    <t>Senorita Dulce</t>
  </si>
  <si>
    <t>Deposit of the Unexpended Cash Advance</t>
  </si>
  <si>
    <t>CASH</t>
  </si>
  <si>
    <t>PRIZE</t>
  </si>
  <si>
    <t>Replenishment of the Petty Cash Fund</t>
  </si>
  <si>
    <t>PLDT</t>
  </si>
  <si>
    <t>Deposit of the Monthly Space Rental</t>
  </si>
  <si>
    <t>INTEREST</t>
  </si>
  <si>
    <t xml:space="preserve"> #8104</t>
  </si>
  <si>
    <t>CORDILLERA BANK</t>
  </si>
  <si>
    <t>1. Salaries and Wages</t>
  </si>
  <si>
    <t>2. Cost of Living Allowance</t>
  </si>
  <si>
    <t>3. Representation of CE</t>
  </si>
  <si>
    <t>4. Christmas Bonus</t>
  </si>
  <si>
    <t>TOTAL CASH BALANCE FOR THE MONTH OF DECEMBER 31, 2025</t>
  </si>
  <si>
    <t>16. Campings</t>
  </si>
  <si>
    <t>17. Conferences and Meetings</t>
  </si>
  <si>
    <t>18. Representation</t>
  </si>
  <si>
    <t>19. Donations and Contributions</t>
  </si>
  <si>
    <t>Income from Hall Rental</t>
  </si>
  <si>
    <t>Victo National</t>
  </si>
  <si>
    <t>GIRL SCOUTS OF THE PHILIPPINES - NES</t>
  </si>
  <si>
    <t>ROSELYN CUBANGBANG</t>
  </si>
  <si>
    <t>SERVICE-VEHICLE</t>
  </si>
  <si>
    <t>EAGLE VISION, INC.</t>
  </si>
  <si>
    <t>ADVERTISING</t>
  </si>
  <si>
    <t>AND PUBLICITY</t>
  </si>
  <si>
    <t>HEADQUARTERS</t>
  </si>
  <si>
    <t>LICENSES</t>
  </si>
  <si>
    <t>AND PERMITS</t>
  </si>
  <si>
    <t>TAXES</t>
  </si>
  <si>
    <t>Deposit of the NES Sales from January 29</t>
  </si>
  <si>
    <t xml:space="preserve">      Cash on Hand</t>
  </si>
  <si>
    <t>FOR THE MONTH OF JANUARY, 2026</t>
  </si>
  <si>
    <t>For the Month Ended, January 31, 2026</t>
  </si>
  <si>
    <t>2. Troop Fees</t>
  </si>
  <si>
    <t>3. District Committee</t>
  </si>
  <si>
    <t>4. Career Woman</t>
  </si>
  <si>
    <t>5. Honorary Member</t>
  </si>
  <si>
    <t>7. Thinking Day Fund</t>
  </si>
  <si>
    <t xml:space="preserve">2. Cash Prize: Top 10 NGO </t>
  </si>
  <si>
    <t>4. SSS Premium Expense</t>
  </si>
  <si>
    <t>5. PhilHealth Premium Expense</t>
  </si>
  <si>
    <t>6. Pag-IBIG Premium Expense</t>
  </si>
  <si>
    <t>7. Transportation and Travel</t>
  </si>
  <si>
    <t>8. Postage &amp; Freight</t>
  </si>
  <si>
    <t>9. Telephone and Communications</t>
  </si>
  <si>
    <t>10. Electric Bill</t>
  </si>
  <si>
    <t>11. Office Supplies</t>
  </si>
  <si>
    <t>12. Maintenance Linens</t>
  </si>
  <si>
    <t>13. Gasoline and Oil</t>
  </si>
  <si>
    <t>14. Maintenance - Sevice Vehicle</t>
  </si>
  <si>
    <t>15. Repair and Maintenance - Headquarters</t>
  </si>
  <si>
    <t>16. Trainings</t>
  </si>
  <si>
    <t>20. Christmas Program</t>
  </si>
  <si>
    <t>21. Escoda Fund</t>
  </si>
  <si>
    <t>22.Thinking Day Fund</t>
  </si>
  <si>
    <t>23. Licenses and Permits</t>
  </si>
  <si>
    <t>24. Legal Fees</t>
  </si>
  <si>
    <t>25. Taxes</t>
  </si>
  <si>
    <t>26. Advertising and Publicity</t>
  </si>
  <si>
    <t>27. Tulong Bata</t>
  </si>
  <si>
    <t>28. Miscellaneous</t>
  </si>
  <si>
    <t>TOTAL CASH BALANCE FOR THE MONTH OF JANUARY 31, 2026</t>
  </si>
  <si>
    <t>Council Executive</t>
  </si>
  <si>
    <t>RECOMMENDING APPROVAL:</t>
  </si>
  <si>
    <t>Treasurer</t>
  </si>
  <si>
    <t>For the Month Ended, February 28, 2026</t>
  </si>
  <si>
    <t>Payment of the 16 CCTV Cameras with SD Card</t>
  </si>
  <si>
    <t>Payment of the New Mirrorless Camera</t>
  </si>
  <si>
    <t>KITCHEN</t>
  </si>
  <si>
    <t>FURNITURE &amp;</t>
  </si>
  <si>
    <t>FIXTURES</t>
  </si>
  <si>
    <t>Payment of the New Plates, Spoons, Forks and Drinking Glass</t>
  </si>
  <si>
    <t>Payment of 100pcs Monobloc Chair</t>
  </si>
  <si>
    <t>Payment of Expenses Incurred in the Purchase of Camera, Kitchen Utensils</t>
  </si>
  <si>
    <t xml:space="preserve"> and Chairs last Jan. 29-30, 2026 at Metro Manila</t>
  </si>
  <si>
    <t>ALEX CHAN BAZAR</t>
  </si>
  <si>
    <t>Payment of the Filing Cabinet with Vault</t>
  </si>
  <si>
    <t>Payment of Internet and Cable for the Month of February, 2026</t>
  </si>
  <si>
    <t>Payment of Gasoline and Oil</t>
  </si>
  <si>
    <t>Payment of Internet and Telephone Bill for the Month of February, 2026</t>
  </si>
  <si>
    <t>MARICEL S. BALLETE</t>
  </si>
  <si>
    <t>Payment for the 1 Night Accommodation of the Trainees at Ating Tahanan</t>
  </si>
  <si>
    <t>Payment for the Snacks uring the World Thinking Day Pre-Planning</t>
  </si>
  <si>
    <t>JACS ENTERPRISES</t>
  </si>
  <si>
    <t>Payment for the 3 Fire Extinguisher Refill</t>
  </si>
  <si>
    <t>Cash Advance for the Executive Committee Meeting last February 12, 2026</t>
  </si>
  <si>
    <t>Payment of Expenses incurred in the Preparation of the Souvenir Book</t>
  </si>
  <si>
    <t>Payment of Salaries for the Period of February 1-15, 2026 and Clothing Allowance</t>
  </si>
  <si>
    <t>Payment of 1 Set of Ink</t>
  </si>
  <si>
    <t>02/18/2026</t>
  </si>
  <si>
    <t>Payment of Inventory - NES</t>
  </si>
  <si>
    <t>93861785</t>
  </si>
  <si>
    <t>METRO VIGAN CAR CARE CENTER</t>
  </si>
  <si>
    <t>Payment for the Replacement of Fuel Filter of the Council's Vehicle</t>
  </si>
  <si>
    <t>02/19/2026</t>
  </si>
  <si>
    <t>Payment for the Renewal of the Fire Safety Inspection Certificate</t>
  </si>
  <si>
    <t>02/23/2026</t>
  </si>
  <si>
    <t>93861786</t>
  </si>
  <si>
    <t>RORY FENIS</t>
  </si>
  <si>
    <t>Payment of Materials to be used in the installation of the CCTV Cameras</t>
  </si>
  <si>
    <t>Payment of Expenses incurred in the Transportation of Campers (Vigan-NAIA)</t>
  </si>
  <si>
    <t>Payment of Expenses incurred in the Transportation of Campers (NAIA-Vigan)</t>
  </si>
  <si>
    <t>Additional Payment for the 1 Set of Ink</t>
  </si>
  <si>
    <t>Cash Advance for the Council Board Training on February 22, 2026</t>
  </si>
  <si>
    <t>Cancelled</t>
  </si>
  <si>
    <t>FOR THE MONTH OF FEBRUARY, 2026</t>
  </si>
  <si>
    <t>31792-31794</t>
  </si>
  <si>
    <t>Edwin Loyola</t>
  </si>
  <si>
    <t>Payment of 2-Night Room Rental</t>
  </si>
  <si>
    <t>Pauleen Pegad</t>
  </si>
  <si>
    <t>Deposit of the Room Rental</t>
  </si>
  <si>
    <t>Deposit of the NES Sales from February 7 and 9, 2026</t>
  </si>
  <si>
    <t>Shine Nugal</t>
  </si>
  <si>
    <t>31797-31798</t>
  </si>
  <si>
    <t>31799-31802</t>
  </si>
  <si>
    <t>Deposit of Souvenir Sales from February 10</t>
  </si>
  <si>
    <t>Deposit of NES Sales From February 9 and 10, 2026</t>
  </si>
  <si>
    <t>Eva Marie Medina</t>
  </si>
  <si>
    <t>Deposit of Income from Hall Rental</t>
  </si>
  <si>
    <t>31803-31823</t>
  </si>
  <si>
    <t>Deposit of NES Sales from February 11, 2026</t>
  </si>
  <si>
    <t>02/13/2026</t>
  </si>
  <si>
    <t>Unexpended Cash Advance from Executive Committee Meeting</t>
  </si>
  <si>
    <t>Jennifer Emerita Rabang</t>
  </si>
  <si>
    <t>Deposit of the NES Sales from February 12, 2026</t>
  </si>
  <si>
    <t>02/14/2026</t>
  </si>
  <si>
    <t>Deposit of NES Sales from February 13, 2026</t>
  </si>
  <si>
    <t>02/16/2026</t>
  </si>
  <si>
    <t>31825-31829</t>
  </si>
  <si>
    <t xml:space="preserve">Cristinalyn </t>
  </si>
  <si>
    <t>Fees from Registration on February 18</t>
  </si>
  <si>
    <t>31830-31832</t>
  </si>
  <si>
    <t>Deposit of NES Sales from February 18, 2026</t>
  </si>
  <si>
    <t>Maelen Corpuz</t>
  </si>
  <si>
    <t>Fees from Registration on February 19</t>
  </si>
  <si>
    <t>31833-31852</t>
  </si>
  <si>
    <t>02/20/2026</t>
  </si>
  <si>
    <t>31853-31857</t>
  </si>
  <si>
    <t>Deposit of NES Sales from February 19, 2026</t>
  </si>
  <si>
    <t>02/21/2026</t>
  </si>
  <si>
    <t>31858-31863</t>
  </si>
  <si>
    <t>02/22/2026</t>
  </si>
  <si>
    <t>Thinking Day Fund</t>
  </si>
  <si>
    <t>Thinking Day</t>
  </si>
  <si>
    <t>31864-31873</t>
  </si>
  <si>
    <t>Aireen Llanes</t>
  </si>
  <si>
    <t>Fees from Registration on February 23</t>
  </si>
  <si>
    <t>31873-31883</t>
  </si>
  <si>
    <t>Deposit of NES Sales from February 20-22, 2026</t>
  </si>
  <si>
    <t>Deposit of the Thinking Day Fund</t>
  </si>
  <si>
    <t>02/24/2026</t>
  </si>
  <si>
    <t>31884-31903</t>
  </si>
  <si>
    <t>02/25/2026</t>
  </si>
  <si>
    <t>Fatima Cerna</t>
  </si>
  <si>
    <t>Fees from Registration on February 25</t>
  </si>
  <si>
    <t>Aldeza Pablico</t>
  </si>
  <si>
    <t>Unexpended Cash Advance from Council Board Training</t>
  </si>
  <si>
    <t>Vilma Alcayaga</t>
  </si>
  <si>
    <t>Carol Valdez</t>
  </si>
  <si>
    <t>31904-31922</t>
  </si>
  <si>
    <t>Deposit of NES Sales from February 23-24, 2026</t>
  </si>
  <si>
    <t>02/26/2026</t>
  </si>
  <si>
    <t>Fees from Registration on February 26, 2026</t>
  </si>
  <si>
    <t>31923-31939</t>
  </si>
  <si>
    <t>Deposit of NES Sales from February 25, 2026</t>
  </si>
  <si>
    <t>93861787</t>
  </si>
  <si>
    <t>JOHN ELY MEDENILLA</t>
  </si>
  <si>
    <t>Payment for the Dance Instructor for the VPC Night</t>
  </si>
  <si>
    <t>Payment of Expenses incurred during the World Thinking Day on Air last Feb.21, 2026</t>
  </si>
  <si>
    <t>WORLD THINKING</t>
  </si>
  <si>
    <t>DAY</t>
  </si>
  <si>
    <t>Cash Advance for the 54th Star Provincial Holiday on Feb 27-March 1, 2026</t>
  </si>
  <si>
    <t>Cash Advance for the Field Adviser's Meeting on February 28, 2026</t>
  </si>
  <si>
    <t>Payment of Salaries for the Period of February 16-28, 2026</t>
  </si>
  <si>
    <t>Payment of Premiums for the Month of February, 2026</t>
  </si>
  <si>
    <t>Liquidation of Cash Advance for the Executive Committee Meeting (CV #203661)</t>
  </si>
  <si>
    <t>Liquidation of Cash Advance for the Council Board Training (CV #203675)</t>
  </si>
  <si>
    <t>02/26/2025</t>
  </si>
  <si>
    <t>02/27/2026</t>
  </si>
  <si>
    <t>31940-31978</t>
  </si>
  <si>
    <t>02/28/2026</t>
  </si>
  <si>
    <t>Fees from Registration on February 28</t>
  </si>
  <si>
    <t>18953-18956</t>
  </si>
  <si>
    <t>Camping Fees</t>
  </si>
  <si>
    <t>18958-18963</t>
  </si>
  <si>
    <t>Camping</t>
  </si>
  <si>
    <t>1995 Studio Café</t>
  </si>
  <si>
    <t>Baby Ann Bolante</t>
  </si>
  <si>
    <t>Proceeds from Ms. 54th Star Provincial Holiday</t>
  </si>
  <si>
    <t>Proceeds</t>
  </si>
  <si>
    <t>31979-32013</t>
  </si>
  <si>
    <t>3. Barangay Committee</t>
  </si>
  <si>
    <t>7. Clothing Allowance</t>
  </si>
  <si>
    <t>TOTAL CASH BALANCE FOR THE MONTH OF FEBRUARY 28, 2026</t>
  </si>
  <si>
    <t xml:space="preserve">      Cash Advance</t>
  </si>
  <si>
    <t>Deposit of NES Sales from February 26</t>
  </si>
  <si>
    <t>5. Thinking Day Fund</t>
  </si>
  <si>
    <t>6. Camping Fees</t>
  </si>
  <si>
    <t>7. Proceeds from 54th Star Holiday</t>
  </si>
  <si>
    <t>8. Transportation and Travel</t>
  </si>
  <si>
    <t>9. Postage &amp; Freight</t>
  </si>
  <si>
    <t>10. Telephone and Communications</t>
  </si>
  <si>
    <t>11. Office Equipment</t>
  </si>
  <si>
    <t>12. Office Supplies</t>
  </si>
  <si>
    <t>13. Kitchen Equipment</t>
  </si>
  <si>
    <t>14. Furniture &amp; Fixtures</t>
  </si>
  <si>
    <t>15. Gasoline and Oil</t>
  </si>
  <si>
    <t>16. Maintenance - Sevice Vehicle</t>
  </si>
  <si>
    <t>17. Trainings</t>
  </si>
  <si>
    <t>18. Campings</t>
  </si>
  <si>
    <t>19. Conferences and Meetings</t>
  </si>
  <si>
    <t>20. Representation</t>
  </si>
  <si>
    <t>21. World Thinking Day</t>
  </si>
  <si>
    <t>22. Licenses and Permits</t>
  </si>
  <si>
    <t>23. Advertising and Publicity</t>
  </si>
  <si>
    <t>Interest Income from Cordillera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</si>
</sst>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[Red]#,##0.00"/>
    <numFmt numFmtId="166" formatCode="_([$$-409]* #,##0.00_);_([$$-409]* \(#,##0.00\);_([$$-409]* &quot;-&quot;??_);_(@_)"/>
    <numFmt numFmtId="167" formatCode="_(&quot;$&quot;* #,##0.00_);_(&quot;$&quot;* \(#,##0.00\);_(&quot;$&quot;* &quot;-&quot;??_);_(@_)"/>
    <numFmt numFmtId="168" formatCode="_-[$$-409]* #,##0.00_ ;_-[$$-409]* \-#,##0.00\ ;_-[$$-409]* &quot;-&quot;??_ ;_-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 val="singleAccounting"/>
      <sz val="10"/>
      <name val="Arial"/>
      <family val="2"/>
    </font>
    <font>
      <b/>
      <u val="singleAccounting"/>
      <sz val="10"/>
      <name val="Arial"/>
      <family val="2"/>
    </font>
    <font>
      <sz val="10"/>
      <color indexed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  <font>
      <b/>
      <sz val="11.5"/>
      <name val="Arial"/>
      <family val="2"/>
    </font>
    <font>
      <sz val="11.5"/>
      <name val="Arial"/>
      <family val="2"/>
    </font>
    <font>
      <sz val="11.5"/>
      <color indexed="12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3">
    <xf numFmtId="0" fontId="0" fillId="0" borderId="0" xfId="0"/>
    <xf numFmtId="43" fontId="2" fillId="0" borderId="0" xfId="1" applyFont="1" applyFill="1"/>
    <xf numFmtId="43" fontId="5" fillId="0" borderId="3" xfId="1" applyFont="1" applyFill="1" applyBorder="1" applyAlignment="1">
      <alignment horizontal="center"/>
    </xf>
    <xf numFmtId="43" fontId="5" fillId="0" borderId="8" xfId="1" applyFont="1" applyFill="1" applyBorder="1" applyAlignment="1">
      <alignment horizontal="center"/>
    </xf>
    <xf numFmtId="43" fontId="2" fillId="0" borderId="0" xfId="1" applyFont="1" applyFill="1" applyBorder="1"/>
    <xf numFmtId="43" fontId="2" fillId="0" borderId="1" xfId="1" applyFont="1" applyFill="1" applyBorder="1"/>
    <xf numFmtId="43" fontId="3" fillId="0" borderId="0" xfId="1" applyFont="1" applyFill="1" applyBorder="1"/>
    <xf numFmtId="43" fontId="10" fillId="0" borderId="0" xfId="1" applyFont="1" applyFill="1"/>
    <xf numFmtId="43" fontId="9" fillId="0" borderId="0" xfId="1" applyFont="1" applyFill="1"/>
    <xf numFmtId="43" fontId="9" fillId="0" borderId="3" xfId="1" applyFont="1" applyFill="1" applyBorder="1" applyAlignment="1">
      <alignment horizontal="center" vertical="center"/>
    </xf>
    <xf numFmtId="43" fontId="9" fillId="0" borderId="3" xfId="1" applyFont="1" applyFill="1" applyBorder="1" applyAlignment="1">
      <alignment horizontal="center"/>
    </xf>
    <xf numFmtId="0" fontId="9" fillId="0" borderId="3" xfId="1" applyNumberFormat="1" applyFont="1" applyFill="1" applyBorder="1" applyAlignment="1">
      <alignment horizontal="center"/>
    </xf>
    <xf numFmtId="43" fontId="9" fillId="0" borderId="8" xfId="1" applyFont="1" applyFill="1" applyBorder="1" applyAlignment="1">
      <alignment horizontal="center" vertical="center"/>
    </xf>
    <xf numFmtId="43" fontId="9" fillId="0" borderId="9" xfId="1" applyFont="1" applyFill="1" applyBorder="1" applyAlignment="1">
      <alignment horizontal="center"/>
    </xf>
    <xf numFmtId="43" fontId="9" fillId="0" borderId="8" xfId="1" applyFont="1" applyFill="1" applyBorder="1" applyAlignment="1">
      <alignment horizontal="center"/>
    </xf>
    <xf numFmtId="0" fontId="9" fillId="0" borderId="8" xfId="1" applyNumberFormat="1" applyFont="1" applyFill="1" applyBorder="1" applyAlignment="1">
      <alignment horizontal="center"/>
    </xf>
    <xf numFmtId="43" fontId="10" fillId="0" borderId="10" xfId="1" applyFont="1" applyFill="1" applyBorder="1" applyAlignment="1">
      <alignment horizontal="center"/>
    </xf>
    <xf numFmtId="43" fontId="10" fillId="0" borderId="9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12" fillId="0" borderId="0" xfId="0" applyFont="1"/>
    <xf numFmtId="0" fontId="11" fillId="0" borderId="0" xfId="0" applyFont="1"/>
    <xf numFmtId="43" fontId="11" fillId="0" borderId="0" xfId="1" applyFont="1" applyFill="1"/>
    <xf numFmtId="43" fontId="12" fillId="0" borderId="0" xfId="1" applyFont="1" applyFill="1"/>
    <xf numFmtId="43" fontId="12" fillId="0" borderId="0" xfId="1" applyFont="1" applyFill="1" applyBorder="1"/>
    <xf numFmtId="43" fontId="12" fillId="0" borderId="0" xfId="0" applyNumberFormat="1" applyFont="1"/>
    <xf numFmtId="165" fontId="11" fillId="0" borderId="0" xfId="0" applyNumberFormat="1" applyFont="1" applyAlignment="1">
      <alignment horizontal="center"/>
    </xf>
    <xf numFmtId="43" fontId="11" fillId="0" borderId="12" xfId="1" applyFont="1" applyFill="1" applyBorder="1"/>
    <xf numFmtId="165" fontId="12" fillId="0" borderId="0" xfId="0" applyNumberFormat="1" applyFont="1"/>
    <xf numFmtId="165" fontId="11" fillId="0" borderId="0" xfId="0" applyNumberFormat="1" applyFont="1"/>
    <xf numFmtId="164" fontId="11" fillId="0" borderId="12" xfId="0" applyNumberFormat="1" applyFont="1" applyBorder="1"/>
    <xf numFmtId="44" fontId="11" fillId="0" borderId="0" xfId="2" applyFont="1" applyFill="1" applyBorder="1"/>
    <xf numFmtId="43" fontId="11" fillId="0" borderId="0" xfId="0" applyNumberFormat="1" applyFont="1"/>
    <xf numFmtId="44" fontId="12" fillId="0" borderId="0" xfId="2" applyFont="1" applyFill="1" applyBorder="1"/>
    <xf numFmtId="43" fontId="12" fillId="0" borderId="13" xfId="1" applyFont="1" applyFill="1" applyBorder="1"/>
    <xf numFmtId="43" fontId="11" fillId="0" borderId="0" xfId="1" applyFont="1" applyFill="1" applyBorder="1"/>
    <xf numFmtId="43" fontId="13" fillId="0" borderId="0" xfId="1" applyFont="1" applyFill="1" applyBorder="1"/>
    <xf numFmtId="164" fontId="11" fillId="0" borderId="0" xfId="0" applyNumberFormat="1" applyFont="1"/>
    <xf numFmtId="43" fontId="14" fillId="0" borderId="0" xfId="0" applyNumberFormat="1" applyFont="1"/>
    <xf numFmtId="43" fontId="12" fillId="0" borderId="0" xfId="1" applyFont="1" applyFill="1" applyBorder="1" applyAlignment="1">
      <alignment horizontal="right"/>
    </xf>
    <xf numFmtId="164" fontId="12" fillId="0" borderId="0" xfId="0" applyNumberFormat="1" applyFont="1"/>
    <xf numFmtId="43" fontId="12" fillId="0" borderId="0" xfId="1" applyFont="1" applyFill="1" applyBorder="1" applyAlignment="1">
      <alignment horizontal="center"/>
    </xf>
    <xf numFmtId="43" fontId="11" fillId="0" borderId="4" xfId="1" applyFont="1" applyFill="1" applyBorder="1"/>
    <xf numFmtId="9" fontId="11" fillId="0" borderId="0" xfId="3" applyFont="1" applyFill="1"/>
    <xf numFmtId="9" fontId="11" fillId="0" borderId="0" xfId="3" applyFont="1" applyFill="1" applyBorder="1"/>
    <xf numFmtId="9" fontId="12" fillId="0" borderId="0" xfId="3" applyFont="1" applyFill="1"/>
    <xf numFmtId="165" fontId="12" fillId="0" borderId="0" xfId="0" applyNumberFormat="1" applyFont="1" applyAlignment="1">
      <alignment horizontal="left"/>
    </xf>
    <xf numFmtId="164" fontId="11" fillId="0" borderId="1" xfId="0" applyNumberFormat="1" applyFont="1" applyBorder="1"/>
    <xf numFmtId="165" fontId="11" fillId="0" borderId="0" xfId="0" applyNumberFormat="1" applyFont="1" applyAlignment="1">
      <alignment horizontal="left"/>
    </xf>
    <xf numFmtId="164" fontId="11" fillId="0" borderId="14" xfId="0" applyNumberFormat="1" applyFont="1" applyBorder="1"/>
    <xf numFmtId="165" fontId="12" fillId="0" borderId="0" xfId="0" applyNumberFormat="1" applyFont="1" applyAlignment="1">
      <alignment horizontal="left" vertical="top"/>
    </xf>
    <xf numFmtId="164" fontId="11" fillId="0" borderId="4" xfId="0" applyNumberFormat="1" applyFont="1" applyBorder="1"/>
    <xf numFmtId="165" fontId="15" fillId="0" borderId="0" xfId="0" applyNumberFormat="1" applyFont="1"/>
    <xf numFmtId="43" fontId="11" fillId="0" borderId="0" xfId="1" applyFont="1" applyFill="1" applyBorder="1" applyAlignment="1">
      <alignment horizontal="right"/>
    </xf>
    <xf numFmtId="43" fontId="12" fillId="0" borderId="1" xfId="1" applyFont="1" applyFill="1" applyBorder="1" applyAlignment="1">
      <alignment horizontal="right"/>
    </xf>
    <xf numFmtId="43" fontId="11" fillId="0" borderId="14" xfId="0" applyNumberFormat="1" applyFont="1" applyBorder="1"/>
    <xf numFmtId="43" fontId="6" fillId="0" borderId="10" xfId="1" applyFont="1" applyFill="1" applyBorder="1" applyAlignment="1">
      <alignment horizontal="center"/>
    </xf>
    <xf numFmtId="0" fontId="10" fillId="0" borderId="0" xfId="0" applyFont="1" applyFill="1"/>
    <xf numFmtId="43" fontId="10" fillId="0" borderId="0" xfId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49" fontId="3" fillId="0" borderId="0" xfId="0" applyNumberFormat="1" applyFont="1" applyFill="1"/>
    <xf numFmtId="43" fontId="3" fillId="0" borderId="0" xfId="1" applyFont="1" applyFill="1" applyAlignment="1">
      <alignment horizontal="center"/>
    </xf>
    <xf numFmtId="0" fontId="4" fillId="0" borderId="0" xfId="0" applyFont="1" applyFill="1"/>
    <xf numFmtId="43" fontId="2" fillId="0" borderId="0" xfId="1" applyFont="1" applyFill="1" applyAlignment="1">
      <alignment horizontal="right"/>
    </xf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center"/>
    </xf>
    <xf numFmtId="43" fontId="5" fillId="0" borderId="5" xfId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wrapText="1"/>
    </xf>
    <xf numFmtId="43" fontId="5" fillId="0" borderId="3" xfId="1" applyFont="1" applyFill="1" applyBorder="1" applyAlignment="1">
      <alignment horizontal="center" wrapText="1"/>
    </xf>
    <xf numFmtId="43" fontId="5" fillId="0" borderId="2" xfId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/>
    </xf>
    <xf numFmtId="43" fontId="5" fillId="0" borderId="8" xfId="1" applyFont="1" applyFill="1" applyBorder="1" applyAlignment="1">
      <alignment horizontal="center" vertical="center"/>
    </xf>
    <xf numFmtId="43" fontId="5" fillId="0" borderId="9" xfId="1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43" fontId="5" fillId="0" borderId="7" xfId="1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49" fontId="3" fillId="0" borderId="10" xfId="0" applyNumberFormat="1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14" fontId="3" fillId="0" borderId="4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right"/>
    </xf>
    <xf numFmtId="43" fontId="2" fillId="0" borderId="0" xfId="0" applyNumberFormat="1" applyFont="1" applyFill="1"/>
    <xf numFmtId="1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1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49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center"/>
    </xf>
    <xf numFmtId="43" fontId="3" fillId="0" borderId="0" xfId="1" applyFont="1" applyFill="1"/>
    <xf numFmtId="164" fontId="3" fillId="0" borderId="0" xfId="0" applyNumberFormat="1" applyFont="1" applyFill="1"/>
    <xf numFmtId="164" fontId="2" fillId="0" borderId="0" xfId="0" applyNumberFormat="1" applyFont="1" applyFill="1"/>
    <xf numFmtId="0" fontId="2" fillId="0" borderId="4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10" fillId="0" borderId="0" xfId="0" applyFont="1" applyFill="1" applyAlignment="1">
      <alignment horizontal="center"/>
    </xf>
    <xf numFmtId="43" fontId="12" fillId="0" borderId="0" xfId="1" applyFont="1" applyFill="1" applyBorder="1" applyAlignment="1">
      <alignment horizontal="right" indent="1"/>
    </xf>
    <xf numFmtId="14" fontId="10" fillId="0" borderId="0" xfId="0" applyNumberFormat="1" applyFont="1" applyFill="1" applyAlignment="1">
      <alignment horizontal="right"/>
    </xf>
    <xf numFmtId="43" fontId="10" fillId="0" borderId="0" xfId="0" applyNumberFormat="1" applyFont="1" applyFill="1"/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43" fontId="9" fillId="0" borderId="0" xfId="1" applyFont="1" applyFill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43" fontId="9" fillId="0" borderId="8" xfId="1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/>
    </xf>
    <xf numFmtId="14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  <xf numFmtId="43" fontId="9" fillId="0" borderId="15" xfId="1" applyFont="1" applyFill="1" applyBorder="1"/>
    <xf numFmtId="0" fontId="20" fillId="0" borderId="0" xfId="0" applyFont="1"/>
    <xf numFmtId="0" fontId="19" fillId="0" borderId="0" xfId="0" applyFont="1"/>
    <xf numFmtId="43" fontId="20" fillId="0" borderId="0" xfId="1" applyFont="1" applyFill="1"/>
    <xf numFmtId="43" fontId="20" fillId="0" borderId="0" xfId="1" applyFont="1" applyFill="1" applyBorder="1"/>
    <xf numFmtId="43" fontId="20" fillId="0" borderId="0" xfId="0" applyNumberFormat="1" applyFont="1"/>
    <xf numFmtId="165" fontId="19" fillId="0" borderId="0" xfId="0" applyNumberFormat="1" applyFont="1" applyAlignment="1">
      <alignment horizontal="center"/>
    </xf>
    <xf numFmtId="165" fontId="20" fillId="0" borderId="0" xfId="0" applyNumberFormat="1" applyFont="1"/>
    <xf numFmtId="165" fontId="19" fillId="0" borderId="0" xfId="0" applyNumberFormat="1" applyFont="1"/>
    <xf numFmtId="43" fontId="19" fillId="0" borderId="0" xfId="0" applyNumberFormat="1" applyFont="1"/>
    <xf numFmtId="43" fontId="19" fillId="0" borderId="0" xfId="1" applyFont="1" applyFill="1" applyBorder="1"/>
    <xf numFmtId="43" fontId="20" fillId="0" borderId="0" xfId="1" applyFont="1" applyFill="1" applyBorder="1" applyAlignment="1">
      <alignment horizontal="right"/>
    </xf>
    <xf numFmtId="9" fontId="20" fillId="0" borderId="0" xfId="3" applyFont="1" applyFill="1"/>
    <xf numFmtId="165" fontId="20" fillId="0" borderId="0" xfId="0" applyNumberFormat="1" applyFont="1" applyAlignment="1">
      <alignment horizontal="left"/>
    </xf>
    <xf numFmtId="165" fontId="21" fillId="0" borderId="0" xfId="0" applyNumberFormat="1" applyFont="1"/>
    <xf numFmtId="166" fontId="19" fillId="0" borderId="0" xfId="1" applyNumberFormat="1" applyFont="1" applyFill="1" applyBorder="1" applyAlignment="1">
      <alignment horizontal="right"/>
    </xf>
    <xf numFmtId="44" fontId="20" fillId="0" borderId="0" xfId="2" applyFont="1" applyFill="1" applyBorder="1" applyAlignment="1">
      <alignment horizontal="center"/>
    </xf>
    <xf numFmtId="167" fontId="19" fillId="0" borderId="0" xfId="0" applyNumberFormat="1" applyFont="1"/>
    <xf numFmtId="44" fontId="19" fillId="0" borderId="0" xfId="2" applyFont="1" applyFill="1" applyBorder="1" applyAlignment="1">
      <alignment horizontal="right"/>
    </xf>
    <xf numFmtId="0" fontId="20" fillId="0" borderId="0" xfId="0" applyFont="1" applyAlignment="1">
      <alignment horizontal="left"/>
    </xf>
    <xf numFmtId="166" fontId="20" fillId="0" borderId="0" xfId="1" applyNumberFormat="1" applyFont="1" applyFill="1" applyBorder="1" applyAlignment="1">
      <alignment horizontal="right"/>
    </xf>
    <xf numFmtId="168" fontId="19" fillId="0" borderId="0" xfId="0" applyNumberFormat="1" applyFont="1"/>
    <xf numFmtId="43" fontId="3" fillId="0" borderId="15" xfId="1" applyFont="1" applyFill="1" applyBorder="1"/>
    <xf numFmtId="165" fontId="20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2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top"/>
    </xf>
    <xf numFmtId="43" fontId="12" fillId="2" borderId="0" xfId="1" applyFont="1" applyFill="1" applyBorder="1"/>
    <xf numFmtId="43" fontId="13" fillId="2" borderId="0" xfId="1" applyFont="1" applyFill="1" applyBorder="1"/>
    <xf numFmtId="43" fontId="12" fillId="2" borderId="0" xfId="1" applyFont="1" applyFill="1" applyBorder="1" applyAlignment="1">
      <alignment horizontal="right"/>
    </xf>
    <xf numFmtId="43" fontId="12" fillId="2" borderId="0" xfId="1" applyFont="1" applyFill="1"/>
    <xf numFmtId="43" fontId="12" fillId="2" borderId="0" xfId="1" applyFont="1" applyFill="1" applyBorder="1" applyAlignment="1">
      <alignment horizontal="right" indent="1"/>
    </xf>
    <xf numFmtId="0" fontId="5" fillId="0" borderId="7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165" fontId="2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CD1-68F6-4758-91A0-17FFCEBA16CE}">
  <sheetPr>
    <pageSetUpPr fitToPage="1"/>
  </sheetPr>
  <dimension ref="A1:BP89"/>
  <sheetViews>
    <sheetView tabSelected="1" topLeftCell="C16" zoomScale="95" zoomScaleNormal="95" workbookViewId="0">
      <selection activeCell="J31" sqref="J31"/>
    </sheetView>
  </sheetViews>
  <sheetFormatPr defaultColWidth="9" defaultRowHeight="15" x14ac:dyDescent="0.25"/>
  <cols>
    <col min="1" max="1" width="11.7109375" style="58" customWidth="1"/>
    <col min="2" max="2" width="45.7109375" style="58" bestFit="1" customWidth="1"/>
    <col min="3" max="3" width="83" style="93" customWidth="1"/>
    <col min="4" max="4" width="8" style="60" bestFit="1" customWidth="1"/>
    <col min="5" max="5" width="12.7109375" style="61" bestFit="1" customWidth="1"/>
    <col min="6" max="6" width="15" style="1" customWidth="1"/>
    <col min="7" max="7" width="16.28515625" style="1" customWidth="1"/>
    <col min="8" max="8" width="13.5703125" style="1" customWidth="1"/>
    <col min="9" max="9" width="16.140625" style="1" customWidth="1"/>
    <col min="10" max="10" width="14.5703125" style="59" bestFit="1" customWidth="1"/>
    <col min="11" max="11" width="13.42578125" style="59" customWidth="1"/>
    <col min="12" max="12" width="14.7109375" style="1" customWidth="1"/>
    <col min="13" max="13" width="15.7109375" style="59" customWidth="1"/>
    <col min="14" max="14" width="12.140625" style="59" customWidth="1"/>
    <col min="15" max="15" width="18.5703125" style="59" customWidth="1"/>
    <col min="16" max="16" width="16.42578125" style="59" customWidth="1"/>
    <col min="17" max="17" width="16.42578125" style="59" hidden="1" customWidth="1"/>
    <col min="18" max="18" width="12.140625" style="59" customWidth="1"/>
    <col min="19" max="19" width="13.140625" style="59" customWidth="1"/>
    <col min="20" max="20" width="12.140625" style="59" customWidth="1"/>
    <col min="21" max="21" width="18.140625" style="59" customWidth="1"/>
    <col min="22" max="22" width="15" style="59" customWidth="1"/>
    <col min="23" max="23" width="19.42578125" style="59" customWidth="1"/>
    <col min="24" max="24" width="13" style="59" hidden="1" customWidth="1"/>
    <col min="25" max="25" width="12.7109375" style="59" hidden="1" customWidth="1"/>
    <col min="26" max="26" width="15.5703125" style="59" hidden="1" customWidth="1"/>
    <col min="27" max="27" width="12.7109375" style="59" customWidth="1"/>
    <col min="28" max="28" width="16.140625" style="59" hidden="1" customWidth="1"/>
    <col min="29" max="31" width="16.140625" style="59" customWidth="1"/>
    <col min="32" max="32" width="17.140625" style="59" customWidth="1"/>
    <col min="33" max="33" width="13" style="59" customWidth="1"/>
    <col min="34" max="35" width="13" style="1" customWidth="1"/>
    <col min="36" max="36" width="16" style="59" customWidth="1"/>
    <col min="37" max="37" width="19.42578125" style="59" customWidth="1"/>
    <col min="38" max="38" width="20.85546875" style="59" hidden="1" customWidth="1"/>
    <col min="39" max="39" width="15.7109375" style="59" customWidth="1"/>
    <col min="40" max="40" width="26.28515625" style="59" hidden="1" customWidth="1"/>
    <col min="41" max="41" width="22.85546875" style="59" hidden="1" customWidth="1"/>
    <col min="42" max="42" width="12.42578125" style="59" hidden="1" customWidth="1"/>
    <col min="43" max="43" width="14.140625" style="59" hidden="1" customWidth="1"/>
    <col min="44" max="45" width="11.7109375" style="59" hidden="1" customWidth="1"/>
    <col min="46" max="46" width="17.5703125" style="59" hidden="1" customWidth="1"/>
    <col min="47" max="48" width="11.7109375" style="59" hidden="1" customWidth="1"/>
    <col min="49" max="49" width="13.42578125" style="59" hidden="1" customWidth="1"/>
    <col min="50" max="50" width="1.140625" style="59" hidden="1" customWidth="1"/>
    <col min="51" max="51" width="14.42578125" style="59" customWidth="1"/>
    <col min="52" max="53" width="13.42578125" style="59" hidden="1" customWidth="1"/>
    <col min="54" max="54" width="15.42578125" style="59" customWidth="1"/>
    <col min="55" max="55" width="16.28515625" style="59" hidden="1" customWidth="1"/>
    <col min="56" max="56" width="14.28515625" style="1" hidden="1" customWidth="1"/>
    <col min="57" max="57" width="14.28515625" style="1" customWidth="1"/>
    <col min="58" max="58" width="12.28515625" style="59" bestFit="1" customWidth="1"/>
    <col min="59" max="59" width="14.7109375" style="59" customWidth="1"/>
    <col min="60" max="60" width="14.85546875" style="59" customWidth="1"/>
    <col min="61" max="61" width="12.42578125" style="59" customWidth="1"/>
    <col min="62" max="62" width="11.42578125" style="59" customWidth="1"/>
    <col min="63" max="63" width="11.7109375" style="59" customWidth="1"/>
    <col min="64" max="64" width="13.42578125" style="59" customWidth="1"/>
    <col min="65" max="65" width="9" style="59"/>
    <col min="66" max="67" width="13.42578125" style="59" bestFit="1" customWidth="1"/>
    <col min="68" max="68" width="12.7109375" style="59" bestFit="1" customWidth="1"/>
    <col min="69" max="16384" width="9" style="59"/>
  </cols>
  <sheetData>
    <row r="1" spans="1:68" x14ac:dyDescent="0.25">
      <c r="H1" s="62" t="s">
        <v>0</v>
      </c>
    </row>
    <row r="2" spans="1:68" x14ac:dyDescent="0.25">
      <c r="H2" s="62" t="s">
        <v>1</v>
      </c>
    </row>
    <row r="3" spans="1:68" x14ac:dyDescent="0.25">
      <c r="H3" s="62" t="s">
        <v>2</v>
      </c>
    </row>
    <row r="4" spans="1:68" x14ac:dyDescent="0.25">
      <c r="H4" s="62"/>
      <c r="K4" s="63"/>
    </row>
    <row r="5" spans="1:68" x14ac:dyDescent="0.25">
      <c r="H5" s="62" t="s">
        <v>3</v>
      </c>
      <c r="K5" s="63"/>
    </row>
    <row r="6" spans="1:68" x14ac:dyDescent="0.25">
      <c r="H6" s="62" t="s">
        <v>304</v>
      </c>
    </row>
    <row r="7" spans="1:68" ht="18.75" customHeight="1" x14ac:dyDescent="0.25">
      <c r="F7" s="5"/>
      <c r="G7" s="64"/>
      <c r="J7" s="58"/>
    </row>
    <row r="8" spans="1:68" ht="26.25" customHeight="1" x14ac:dyDescent="0.25">
      <c r="A8" s="65"/>
      <c r="B8" s="65"/>
      <c r="C8" s="102"/>
      <c r="D8" s="66"/>
      <c r="E8" s="67"/>
      <c r="F8" s="68" t="s">
        <v>4</v>
      </c>
      <c r="G8" s="2" t="s">
        <v>5</v>
      </c>
      <c r="H8" s="2" t="s">
        <v>6</v>
      </c>
      <c r="I8" s="2" t="s">
        <v>7</v>
      </c>
      <c r="J8" s="69" t="s">
        <v>8</v>
      </c>
      <c r="K8" s="176" t="s">
        <v>9</v>
      </c>
      <c r="L8" s="177"/>
      <c r="M8" s="70" t="s">
        <v>10</v>
      </c>
      <c r="N8" s="70" t="s">
        <v>11</v>
      </c>
      <c r="O8" s="70" t="s">
        <v>12</v>
      </c>
      <c r="P8" s="70" t="s">
        <v>179</v>
      </c>
      <c r="Q8" s="70" t="s">
        <v>180</v>
      </c>
      <c r="R8" s="70" t="s">
        <v>13</v>
      </c>
      <c r="S8" s="70" t="s">
        <v>14</v>
      </c>
      <c r="T8" s="70" t="s">
        <v>15</v>
      </c>
      <c r="U8" s="70" t="s">
        <v>16</v>
      </c>
      <c r="V8" s="69" t="s">
        <v>17</v>
      </c>
      <c r="W8" s="69" t="s">
        <v>18</v>
      </c>
      <c r="X8" s="70" t="s">
        <v>19</v>
      </c>
      <c r="Y8" s="70" t="s">
        <v>20</v>
      </c>
      <c r="Z8" s="70" t="s">
        <v>26</v>
      </c>
      <c r="AA8" s="69" t="s">
        <v>20</v>
      </c>
      <c r="AB8" s="69" t="s">
        <v>21</v>
      </c>
      <c r="AC8" s="69" t="s">
        <v>20</v>
      </c>
      <c r="AD8" s="69" t="s">
        <v>267</v>
      </c>
      <c r="AE8" s="69" t="s">
        <v>268</v>
      </c>
      <c r="AF8" s="69" t="s">
        <v>21</v>
      </c>
      <c r="AG8" s="70" t="s">
        <v>22</v>
      </c>
      <c r="AH8" s="71" t="s">
        <v>23</v>
      </c>
      <c r="AI8" s="71" t="s">
        <v>183</v>
      </c>
      <c r="AJ8" s="70" t="s">
        <v>24</v>
      </c>
      <c r="AK8" s="70" t="s">
        <v>12</v>
      </c>
      <c r="AL8" s="69" t="s">
        <v>25</v>
      </c>
      <c r="AM8" s="69" t="s">
        <v>368</v>
      </c>
      <c r="AN8" s="69" t="s">
        <v>26</v>
      </c>
      <c r="AO8" s="69" t="s">
        <v>26</v>
      </c>
      <c r="AP8" s="69" t="s">
        <v>75</v>
      </c>
      <c r="AQ8" s="69" t="s">
        <v>69</v>
      </c>
      <c r="AR8" s="70" t="s">
        <v>27</v>
      </c>
      <c r="AS8" s="70" t="s">
        <v>75</v>
      </c>
      <c r="AT8" s="70" t="s">
        <v>176</v>
      </c>
      <c r="AU8" s="70" t="s">
        <v>76</v>
      </c>
      <c r="AV8" s="70" t="s">
        <v>174</v>
      </c>
      <c r="AW8" s="70" t="s">
        <v>175</v>
      </c>
      <c r="AX8" s="70" t="s">
        <v>177</v>
      </c>
      <c r="AY8" s="70" t="s">
        <v>225</v>
      </c>
      <c r="AZ8" s="70" t="s">
        <v>174</v>
      </c>
      <c r="BA8" s="70" t="s">
        <v>227</v>
      </c>
      <c r="BB8" s="70" t="s">
        <v>222</v>
      </c>
      <c r="BC8" s="70" t="s">
        <v>28</v>
      </c>
      <c r="BD8" s="71" t="s">
        <v>29</v>
      </c>
      <c r="BE8" s="72" t="s">
        <v>91</v>
      </c>
      <c r="BF8" s="178" t="s">
        <v>13</v>
      </c>
      <c r="BG8" s="179"/>
      <c r="BH8" s="176" t="s">
        <v>30</v>
      </c>
      <c r="BI8" s="177"/>
      <c r="BJ8" s="176" t="s">
        <v>31</v>
      </c>
      <c r="BK8" s="177"/>
      <c r="BL8" s="73"/>
      <c r="BN8" s="59" t="s">
        <v>32</v>
      </c>
      <c r="BO8" s="59" t="s">
        <v>33</v>
      </c>
    </row>
    <row r="9" spans="1:68" x14ac:dyDescent="0.25">
      <c r="A9" s="74" t="s">
        <v>34</v>
      </c>
      <c r="B9" s="74" t="s">
        <v>35</v>
      </c>
      <c r="C9" s="103" t="s">
        <v>36</v>
      </c>
      <c r="D9" s="75" t="s">
        <v>37</v>
      </c>
      <c r="E9" s="76" t="s">
        <v>38</v>
      </c>
      <c r="F9" s="77" t="s">
        <v>39</v>
      </c>
      <c r="G9" s="78" t="s">
        <v>40</v>
      </c>
      <c r="H9" s="3" t="s">
        <v>41</v>
      </c>
      <c r="I9" s="3"/>
      <c r="J9" s="79" t="s">
        <v>42</v>
      </c>
      <c r="K9" s="165"/>
      <c r="L9" s="78"/>
      <c r="M9" s="79" t="s">
        <v>43</v>
      </c>
      <c r="N9" s="79" t="s">
        <v>44</v>
      </c>
      <c r="O9" s="79" t="s">
        <v>45</v>
      </c>
      <c r="P9" s="79" t="s">
        <v>44</v>
      </c>
      <c r="Q9" s="79" t="s">
        <v>181</v>
      </c>
      <c r="R9" s="79" t="s">
        <v>43</v>
      </c>
      <c r="S9" s="79" t="s">
        <v>43</v>
      </c>
      <c r="T9" s="79" t="s">
        <v>43</v>
      </c>
      <c r="U9" s="79" t="s">
        <v>43</v>
      </c>
      <c r="V9" s="79" t="s">
        <v>46</v>
      </c>
      <c r="W9" s="79" t="s">
        <v>47</v>
      </c>
      <c r="X9" s="79" t="s">
        <v>48</v>
      </c>
      <c r="Y9" s="79" t="s">
        <v>49</v>
      </c>
      <c r="Z9" s="79" t="s">
        <v>182</v>
      </c>
      <c r="AA9" s="79" t="s">
        <v>50</v>
      </c>
      <c r="AB9" s="79" t="s">
        <v>51</v>
      </c>
      <c r="AC9" s="79" t="s">
        <v>49</v>
      </c>
      <c r="AD9" s="79" t="s">
        <v>49</v>
      </c>
      <c r="AE9" s="79" t="s">
        <v>269</v>
      </c>
      <c r="AF9" s="79" t="s">
        <v>220</v>
      </c>
      <c r="AG9" s="79" t="s">
        <v>43</v>
      </c>
      <c r="AH9" s="3"/>
      <c r="AI9" s="3"/>
      <c r="AJ9" s="79" t="s">
        <v>52</v>
      </c>
      <c r="AK9" s="79"/>
      <c r="AL9" s="79"/>
      <c r="AM9" s="79" t="s">
        <v>369</v>
      </c>
      <c r="AN9" s="79" t="s">
        <v>224</v>
      </c>
      <c r="AO9" s="79" t="s">
        <v>53</v>
      </c>
      <c r="AP9" s="79" t="s">
        <v>89</v>
      </c>
      <c r="AQ9" s="79" t="s">
        <v>89</v>
      </c>
      <c r="AR9" s="79" t="s">
        <v>43</v>
      </c>
      <c r="AS9" s="79" t="s">
        <v>89</v>
      </c>
      <c r="AT9" s="79"/>
      <c r="AU9" s="79" t="s">
        <v>96</v>
      </c>
      <c r="AV9" s="79" t="s">
        <v>86</v>
      </c>
      <c r="AW9" s="79" t="s">
        <v>176</v>
      </c>
      <c r="AX9" s="79" t="s">
        <v>178</v>
      </c>
      <c r="AY9" s="79" t="s">
        <v>226</v>
      </c>
      <c r="AZ9" s="79" t="s">
        <v>86</v>
      </c>
      <c r="BA9" s="79"/>
      <c r="BB9" s="79" t="s">
        <v>223</v>
      </c>
      <c r="BC9" s="79"/>
      <c r="BD9" s="3" t="s">
        <v>54</v>
      </c>
      <c r="BE9" s="80" t="s">
        <v>95</v>
      </c>
      <c r="BF9" s="180" t="s">
        <v>55</v>
      </c>
      <c r="BG9" s="181"/>
      <c r="BH9" s="180" t="s">
        <v>55</v>
      </c>
      <c r="BI9" s="181"/>
      <c r="BJ9" s="180" t="s">
        <v>55</v>
      </c>
      <c r="BK9" s="181"/>
      <c r="BL9" s="73" t="s">
        <v>78</v>
      </c>
    </row>
    <row r="10" spans="1:68" x14ac:dyDescent="0.25">
      <c r="A10" s="81"/>
      <c r="B10" s="81"/>
      <c r="C10" s="104"/>
      <c r="D10" s="82"/>
      <c r="E10" s="83"/>
      <c r="F10" s="55" t="s">
        <v>56</v>
      </c>
      <c r="G10" s="55" t="s">
        <v>56</v>
      </c>
      <c r="H10" s="55" t="s">
        <v>56</v>
      </c>
      <c r="I10" s="55" t="s">
        <v>57</v>
      </c>
      <c r="J10" s="84" t="s">
        <v>58</v>
      </c>
      <c r="K10" s="84" t="s">
        <v>58</v>
      </c>
      <c r="L10" s="55" t="s">
        <v>56</v>
      </c>
      <c r="M10" s="84" t="s">
        <v>58</v>
      </c>
      <c r="N10" s="84" t="s">
        <v>58</v>
      </c>
      <c r="O10" s="84" t="s">
        <v>58</v>
      </c>
      <c r="P10" s="84" t="s">
        <v>58</v>
      </c>
      <c r="Q10" s="84" t="s">
        <v>58</v>
      </c>
      <c r="R10" s="84" t="s">
        <v>58</v>
      </c>
      <c r="S10" s="84" t="s">
        <v>58</v>
      </c>
      <c r="T10" s="84" t="s">
        <v>58</v>
      </c>
      <c r="U10" s="84" t="s">
        <v>58</v>
      </c>
      <c r="V10" s="84" t="s">
        <v>58</v>
      </c>
      <c r="W10" s="84" t="s">
        <v>58</v>
      </c>
      <c r="X10" s="84" t="s">
        <v>58</v>
      </c>
      <c r="Y10" s="84" t="s">
        <v>58</v>
      </c>
      <c r="Z10" s="84" t="s">
        <v>58</v>
      </c>
      <c r="AA10" s="84" t="s">
        <v>58</v>
      </c>
      <c r="AB10" s="84" t="s">
        <v>58</v>
      </c>
      <c r="AC10" s="84"/>
      <c r="AD10" s="84"/>
      <c r="AE10" s="84"/>
      <c r="AF10" s="84"/>
      <c r="AG10" s="84" t="s">
        <v>58</v>
      </c>
      <c r="AH10" s="55" t="s">
        <v>58</v>
      </c>
      <c r="AI10" s="55" t="s">
        <v>58</v>
      </c>
      <c r="AJ10" s="84" t="s">
        <v>58</v>
      </c>
      <c r="AK10" s="84" t="s">
        <v>58</v>
      </c>
      <c r="AL10" s="84" t="s">
        <v>58</v>
      </c>
      <c r="AM10" s="84"/>
      <c r="AN10" s="84" t="s">
        <v>58</v>
      </c>
      <c r="AO10" s="84" t="s">
        <v>58</v>
      </c>
      <c r="AP10" s="84"/>
      <c r="AQ10" s="84"/>
      <c r="AR10" s="84" t="s">
        <v>58</v>
      </c>
      <c r="AS10" s="84" t="s">
        <v>58</v>
      </c>
      <c r="AT10" s="84" t="s">
        <v>58</v>
      </c>
      <c r="AU10" s="84" t="s">
        <v>58</v>
      </c>
      <c r="AV10" s="84" t="s">
        <v>58</v>
      </c>
      <c r="AW10" s="84" t="s">
        <v>58</v>
      </c>
      <c r="AX10" s="84" t="s">
        <v>58</v>
      </c>
      <c r="AY10" s="84"/>
      <c r="AZ10" s="84" t="s">
        <v>58</v>
      </c>
      <c r="BA10" s="84"/>
      <c r="BB10" s="84"/>
      <c r="BC10" s="84" t="s">
        <v>58</v>
      </c>
      <c r="BD10" s="55" t="s">
        <v>58</v>
      </c>
      <c r="BE10" s="55" t="s">
        <v>58</v>
      </c>
      <c r="BF10" s="84" t="s">
        <v>58</v>
      </c>
      <c r="BG10" s="84" t="s">
        <v>56</v>
      </c>
      <c r="BH10" s="84" t="s">
        <v>58</v>
      </c>
      <c r="BI10" s="84" t="s">
        <v>56</v>
      </c>
      <c r="BJ10" s="84" t="s">
        <v>58</v>
      </c>
      <c r="BK10" s="84" t="s">
        <v>56</v>
      </c>
      <c r="BL10" s="85" t="s">
        <v>97</v>
      </c>
    </row>
    <row r="11" spans="1:68" x14ac:dyDescent="0.25">
      <c r="A11" s="86">
        <v>46083</v>
      </c>
      <c r="B11" s="86" t="s">
        <v>59</v>
      </c>
      <c r="C11" s="100" t="s">
        <v>265</v>
      </c>
      <c r="D11" s="87">
        <v>203648</v>
      </c>
      <c r="E11" s="88"/>
      <c r="F11" s="4">
        <v>48656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>
        <v>48656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N11" s="89">
        <f>J11+K11+M11+N11+O11+P11+Q11+Q11+Q11+Q11+R11+S11+T11+U11+V11+W11+X11+Y11+Z11+AA11+AB11+AG11+AH11+AI11+AJ11+AK11+AL11+AN11+AO11+AR11+AS11+AT11+AU11+AV11+AW11+AX11+AZ11+BC11+BE11+BF11+BH11+BJ11</f>
        <v>0</v>
      </c>
      <c r="BO11" s="89">
        <f>F11+G11+H11+I11+L11+BG11+BI11+BK11</f>
        <v>48656</v>
      </c>
      <c r="BP11" s="89">
        <f>BN11-BO11</f>
        <v>-48656</v>
      </c>
    </row>
    <row r="12" spans="1:68" x14ac:dyDescent="0.25">
      <c r="A12" s="90"/>
      <c r="B12" s="90" t="s">
        <v>59</v>
      </c>
      <c r="C12" s="101" t="s">
        <v>266</v>
      </c>
      <c r="D12" s="91">
        <v>203649</v>
      </c>
      <c r="E12" s="88"/>
      <c r="F12" s="4">
        <v>55000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>
        <v>55000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N12" s="89"/>
      <c r="BO12" s="89"/>
      <c r="BP12" s="89"/>
    </row>
    <row r="13" spans="1:68" x14ac:dyDescent="0.25">
      <c r="A13" s="90"/>
      <c r="B13" s="90" t="s">
        <v>59</v>
      </c>
      <c r="C13" s="101" t="s">
        <v>270</v>
      </c>
      <c r="D13" s="91">
        <v>203650</v>
      </c>
      <c r="E13" s="88"/>
      <c r="F13" s="4">
        <v>12000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>
        <v>12000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N13" s="89"/>
      <c r="BO13" s="89"/>
      <c r="BP13" s="89"/>
    </row>
    <row r="14" spans="1:68" x14ac:dyDescent="0.25">
      <c r="A14" s="90"/>
      <c r="B14" s="90" t="s">
        <v>59</v>
      </c>
      <c r="C14" s="101" t="s">
        <v>271</v>
      </c>
      <c r="D14" s="91">
        <v>203651</v>
      </c>
      <c r="E14" s="88"/>
      <c r="F14" s="4">
        <v>40500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>
        <v>40500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N14" s="89">
        <f>J14+K14+M14+N14+O14+P14+Q14+Q14+Q14+Q14+R14+S14+T14+U14+V14+W14+X14+Y14+Z14+AA14+AB14+AG14+AH14+AI14+AJ14+AK14+AL14+AN14+AO14+AR14+AS14+AT14+AU14+AV14+AW14+AX14+AZ14+BC14+BE14+BF14+BH14+BJ14</f>
        <v>0</v>
      </c>
      <c r="BO14" s="89">
        <f>F14+G14+H14+I14+L14+BG14+BI14+BK14</f>
        <v>40500</v>
      </c>
      <c r="BP14" s="89">
        <f t="shared" ref="BP14:BP51" si="0">BN14-BO14</f>
        <v>-40500</v>
      </c>
    </row>
    <row r="15" spans="1:68" x14ac:dyDescent="0.25">
      <c r="A15" s="90">
        <v>46114</v>
      </c>
      <c r="B15" s="90" t="s">
        <v>59</v>
      </c>
      <c r="C15" s="101" t="s">
        <v>272</v>
      </c>
      <c r="D15" s="91">
        <v>203652</v>
      </c>
      <c r="E15" s="88"/>
      <c r="F15" s="4"/>
      <c r="G15" s="4">
        <v>4135.29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>
        <v>170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v>1500</v>
      </c>
      <c r="AH15" s="4"/>
      <c r="AI15" s="4"/>
      <c r="AJ15" s="4"/>
      <c r="AK15" s="4">
        <v>2465.29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N15" s="89">
        <f>J15+K15+M15+N15+O15+P15+Q15+Q15+Q15+Q15+R15+S15+T15+U15+V15+W15+X15+Y15+Z15+AA15+AB15+AG15+AH15+AI15+AJ15+AK15+AL15+AN15+AO15+AR15+AS15+AT15+AU15+AV15+AW15+AX15+AZ15+BC15+BE15+BF15+BH15+BJ15</f>
        <v>4135.29</v>
      </c>
      <c r="BO15" s="89">
        <f>F15+G15+H15+I15+L15+BG15+BI15+BK15</f>
        <v>4135.29</v>
      </c>
      <c r="BP15" s="89">
        <f t="shared" si="0"/>
        <v>0</v>
      </c>
    </row>
    <row r="16" spans="1:68" x14ac:dyDescent="0.25">
      <c r="A16" s="90"/>
      <c r="B16" s="90"/>
      <c r="C16" s="101" t="s">
        <v>273</v>
      </c>
      <c r="D16" s="91"/>
      <c r="E16" s="8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N16" s="89"/>
      <c r="BO16" s="89"/>
      <c r="BP16" s="89"/>
    </row>
    <row r="17" spans="1:68" x14ac:dyDescent="0.25">
      <c r="A17" s="90"/>
      <c r="B17" s="90"/>
      <c r="C17" s="101" t="s">
        <v>277</v>
      </c>
      <c r="D17" s="91">
        <v>203638</v>
      </c>
      <c r="E17" s="88"/>
      <c r="F17" s="4"/>
      <c r="G17" s="4">
        <v>2000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v>2000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N17" s="89"/>
      <c r="BO17" s="89"/>
      <c r="BP17" s="89"/>
    </row>
    <row r="18" spans="1:68" x14ac:dyDescent="0.25">
      <c r="A18" s="90">
        <v>46267</v>
      </c>
      <c r="B18" s="90" t="s">
        <v>274</v>
      </c>
      <c r="C18" s="101" t="s">
        <v>275</v>
      </c>
      <c r="D18" s="91">
        <v>203653</v>
      </c>
      <c r="E18" s="88"/>
      <c r="F18" s="4">
        <v>11500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>
        <v>11500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N18" s="89">
        <f>J18+K18+M18+N18+O18+P18+Q18+Q18+Q18+Q18+R18+S18+T18+U18+V18+W18+X18+Y18+Z18+AA18+AB18+AG18+AH18+AI18+AJ18+AK18+AL18+AN18+AO18+AR18+AS18+AT18+AU18+AV18+AW18+AX18+AZ18+BC18+BE18+BF18+BH18+BJ18</f>
        <v>0</v>
      </c>
      <c r="BO18" s="89">
        <f>F18+G18+H18+I18+L18+BG18+BI18+BK18</f>
        <v>11500</v>
      </c>
      <c r="BP18" s="89">
        <f t="shared" si="0"/>
        <v>-11500</v>
      </c>
    </row>
    <row r="19" spans="1:68" x14ac:dyDescent="0.25">
      <c r="A19" s="90"/>
      <c r="B19" s="90" t="s">
        <v>219</v>
      </c>
      <c r="C19" s="101" t="s">
        <v>277</v>
      </c>
      <c r="D19" s="91">
        <v>203655</v>
      </c>
      <c r="E19" s="88"/>
      <c r="F19" s="4"/>
      <c r="G19" s="4">
        <v>1000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v>1000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N19" s="89"/>
      <c r="BO19" s="89"/>
      <c r="BP19" s="89"/>
    </row>
    <row r="20" spans="1:68" x14ac:dyDescent="0.25">
      <c r="A20" s="90"/>
      <c r="B20" s="90" t="s">
        <v>219</v>
      </c>
      <c r="C20" s="101" t="s">
        <v>201</v>
      </c>
      <c r="D20" s="91">
        <v>203656</v>
      </c>
      <c r="E20" s="88"/>
      <c r="F20" s="4"/>
      <c r="G20" s="4">
        <v>3688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>
        <v>3688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N20" s="89"/>
      <c r="BO20" s="89"/>
      <c r="BP20" s="89"/>
    </row>
    <row r="21" spans="1:68" x14ac:dyDescent="0.25">
      <c r="A21" s="90"/>
      <c r="B21" s="90" t="s">
        <v>202</v>
      </c>
      <c r="C21" s="101" t="s">
        <v>278</v>
      </c>
      <c r="D21" s="91">
        <v>203657</v>
      </c>
      <c r="E21" s="88"/>
      <c r="F21" s="4"/>
      <c r="G21" s="4">
        <v>1516.97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1516.97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N21" s="89"/>
      <c r="BO21" s="89"/>
      <c r="BP21" s="89"/>
    </row>
    <row r="22" spans="1:68" x14ac:dyDescent="0.25">
      <c r="A22" s="90"/>
      <c r="B22" s="90" t="s">
        <v>279</v>
      </c>
      <c r="C22" s="101" t="s">
        <v>280</v>
      </c>
      <c r="D22" s="91">
        <v>203658</v>
      </c>
      <c r="E22" s="88"/>
      <c r="F22" s="4">
        <v>1440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v>1440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N22" s="89"/>
      <c r="BO22" s="89"/>
      <c r="BP22" s="89"/>
    </row>
    <row r="23" spans="1:68" x14ac:dyDescent="0.25">
      <c r="A23" s="90"/>
      <c r="B23" s="90" t="s">
        <v>219</v>
      </c>
      <c r="C23" s="101" t="s">
        <v>281</v>
      </c>
      <c r="D23" s="91">
        <v>203659</v>
      </c>
      <c r="E23" s="88"/>
      <c r="F23" s="4">
        <v>2418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>
        <v>2418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N23" s="89"/>
      <c r="BO23" s="89"/>
      <c r="BP23" s="89"/>
    </row>
    <row r="24" spans="1:68" x14ac:dyDescent="0.25">
      <c r="A24" s="90">
        <v>46297</v>
      </c>
      <c r="B24" s="90" t="s">
        <v>221</v>
      </c>
      <c r="C24" s="101" t="s">
        <v>276</v>
      </c>
      <c r="D24" s="91">
        <v>203654</v>
      </c>
      <c r="E24" s="88"/>
      <c r="F24" s="4"/>
      <c r="G24" s="4"/>
      <c r="H24" s="4">
        <v>1812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1812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N24" s="89">
        <f>J24+K24+M24+N24+O24+P24+Q24+Q24+Q24+Q24+R24+S24+T24+U24+V24+W24+X24+Y24+Z24+AA24+AB24+AG24+AH24+AI24+AJ24+AK24+AL24+AN24+AO24+AR24+AS24+AT24+AU24+AV24+AW24+AX24+AZ24+BC24+BE24+BF24+BH24+BJ24</f>
        <v>1812</v>
      </c>
      <c r="BO24" s="89">
        <f>F24+G24+H24+I24+L24+BG24+BI24+BK24</f>
        <v>1812</v>
      </c>
      <c r="BP24" s="89">
        <f t="shared" si="0"/>
        <v>0</v>
      </c>
    </row>
    <row r="25" spans="1:68" x14ac:dyDescent="0.25">
      <c r="A25" s="90">
        <v>46328</v>
      </c>
      <c r="B25" s="90" t="s">
        <v>282</v>
      </c>
      <c r="C25" s="101" t="s">
        <v>283</v>
      </c>
      <c r="D25" s="91">
        <v>203660</v>
      </c>
      <c r="E25" s="88"/>
      <c r="F25" s="4"/>
      <c r="G25" s="4">
        <v>2400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>
        <v>2400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N25" s="89"/>
      <c r="BO25" s="89"/>
      <c r="BP25" s="89"/>
    </row>
    <row r="26" spans="1:68" x14ac:dyDescent="0.25">
      <c r="A26" s="90"/>
      <c r="B26" s="90" t="s">
        <v>59</v>
      </c>
      <c r="C26" s="101" t="s">
        <v>284</v>
      </c>
      <c r="D26" s="91">
        <v>203661</v>
      </c>
      <c r="E26" s="88"/>
      <c r="F26" s="4">
        <v>7000</v>
      </c>
      <c r="G26" s="4"/>
      <c r="H26" s="4"/>
      <c r="I26" s="4"/>
      <c r="J26" s="4"/>
      <c r="K26" s="4">
        <v>7000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N26" s="89"/>
      <c r="BO26" s="89"/>
      <c r="BP26" s="89"/>
    </row>
    <row r="27" spans="1:68" x14ac:dyDescent="0.25">
      <c r="A27" s="90">
        <v>46358</v>
      </c>
      <c r="B27" s="90" t="s">
        <v>219</v>
      </c>
      <c r="C27" s="101" t="s">
        <v>277</v>
      </c>
      <c r="D27" s="91">
        <v>203662</v>
      </c>
      <c r="E27" s="88"/>
      <c r="F27" s="4"/>
      <c r="G27" s="4">
        <v>2000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>
        <v>2000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N27" s="89"/>
      <c r="BO27" s="89"/>
      <c r="BP27" s="89"/>
    </row>
    <row r="28" spans="1:68" x14ac:dyDescent="0.25">
      <c r="A28" s="90"/>
      <c r="B28" s="90" t="s">
        <v>219</v>
      </c>
      <c r="C28" s="101" t="s">
        <v>201</v>
      </c>
      <c r="D28" s="91">
        <v>203663</v>
      </c>
      <c r="E28" s="88"/>
      <c r="F28" s="4"/>
      <c r="G28" s="4">
        <v>2113.3000000000002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>
        <v>2113.3000000000002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N28" s="89">
        <f t="shared" ref="BN28:BN35" si="1">J28+K28+M28+N28+O28+P28+Q28+Q28+Q28+Q28+R28+S28+T28+U28+V28+W28+X28+Y28+Z28+AA28+AB28+AG28+AH28+AI28+AJ28+AK28+AL28+AN28+AO28+AR28+AS28+AT28+AU28+AV28+AW28+AX28+AZ28+BC28+BE28+BF28+BH28+BJ28</f>
        <v>2113.3000000000002</v>
      </c>
      <c r="BO28" s="89">
        <f t="shared" ref="BO28:BO40" si="2">F28+G28+H28+I28+L28+BG28+BI28+BK28</f>
        <v>2113.3000000000002</v>
      </c>
      <c r="BP28" s="89">
        <f t="shared" si="0"/>
        <v>0</v>
      </c>
    </row>
    <row r="29" spans="1:68" x14ac:dyDescent="0.25">
      <c r="A29" s="90"/>
      <c r="B29" s="90" t="s">
        <v>219</v>
      </c>
      <c r="C29" s="101" t="s">
        <v>285</v>
      </c>
      <c r="D29" s="91">
        <v>203664</v>
      </c>
      <c r="E29" s="88"/>
      <c r="F29" s="4"/>
      <c r="G29" s="4"/>
      <c r="H29" s="4"/>
      <c r="I29" s="4">
        <v>285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>
        <v>285</v>
      </c>
      <c r="BF29" s="4"/>
      <c r="BG29" s="4"/>
      <c r="BH29" s="4"/>
      <c r="BI29" s="4"/>
      <c r="BJ29" s="4"/>
      <c r="BK29" s="4"/>
      <c r="BL29" s="4"/>
      <c r="BN29" s="89">
        <f t="shared" si="1"/>
        <v>285</v>
      </c>
      <c r="BO29" s="89">
        <f t="shared" si="2"/>
        <v>285</v>
      </c>
      <c r="BP29" s="89">
        <f t="shared" si="0"/>
        <v>0</v>
      </c>
    </row>
    <row r="30" spans="1:68" x14ac:dyDescent="0.25">
      <c r="A30" s="90"/>
      <c r="B30" s="90" t="s">
        <v>59</v>
      </c>
      <c r="C30" s="101" t="s">
        <v>286</v>
      </c>
      <c r="D30" s="91">
        <v>203665</v>
      </c>
      <c r="E30" s="88"/>
      <c r="F30" s="4"/>
      <c r="G30" s="4">
        <v>113453.5</v>
      </c>
      <c r="H30" s="4"/>
      <c r="I30" s="4"/>
      <c r="J30" s="4"/>
      <c r="K30" s="4"/>
      <c r="L30" s="4"/>
      <c r="M30" s="4">
        <v>56703.5</v>
      </c>
      <c r="N30" s="4">
        <v>12500</v>
      </c>
      <c r="O30" s="4">
        <v>2250</v>
      </c>
      <c r="P30" s="4">
        <v>42000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N30" s="89">
        <f t="shared" si="1"/>
        <v>113453.5</v>
      </c>
      <c r="BO30" s="89">
        <f t="shared" si="2"/>
        <v>113453.5</v>
      </c>
      <c r="BP30" s="89">
        <f t="shared" si="0"/>
        <v>0</v>
      </c>
    </row>
    <row r="31" spans="1:68" x14ac:dyDescent="0.25">
      <c r="A31" s="90"/>
      <c r="B31" s="90" t="s">
        <v>59</v>
      </c>
      <c r="C31" s="101" t="s">
        <v>287</v>
      </c>
      <c r="D31" s="91">
        <v>203666</v>
      </c>
      <c r="E31" s="88"/>
      <c r="F31" s="4">
        <v>38000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>
        <v>38000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N31" s="89">
        <f t="shared" si="1"/>
        <v>38000</v>
      </c>
      <c r="BO31" s="89">
        <f t="shared" si="2"/>
        <v>38000</v>
      </c>
      <c r="BP31" s="89">
        <f t="shared" si="0"/>
        <v>0</v>
      </c>
    </row>
    <row r="32" spans="1:68" x14ac:dyDescent="0.25">
      <c r="A32" s="90" t="s">
        <v>320</v>
      </c>
      <c r="B32" s="90"/>
      <c r="C32" s="101" t="s">
        <v>374</v>
      </c>
      <c r="D32" s="91"/>
      <c r="E32" s="88"/>
      <c r="F32" s="4"/>
      <c r="G32" s="4"/>
      <c r="H32" s="4"/>
      <c r="I32" s="4"/>
      <c r="J32" s="4"/>
      <c r="K32" s="4"/>
      <c r="L32" s="4">
        <v>7000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>
        <v>5711.5</v>
      </c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N32" s="89"/>
      <c r="BO32" s="89"/>
      <c r="BP32" s="89"/>
    </row>
    <row r="33" spans="1:68" x14ac:dyDescent="0.25">
      <c r="A33" s="90" t="s">
        <v>288</v>
      </c>
      <c r="B33" s="90" t="s">
        <v>218</v>
      </c>
      <c r="C33" s="101" t="s">
        <v>289</v>
      </c>
      <c r="D33" s="91">
        <v>203667</v>
      </c>
      <c r="E33" s="88" t="s">
        <v>290</v>
      </c>
      <c r="F33" s="4"/>
      <c r="G33" s="4"/>
      <c r="H33" s="4">
        <v>12000</v>
      </c>
      <c r="I33" s="4"/>
      <c r="J33" s="4">
        <v>12000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N33" s="89">
        <f>J33+K33+M33+N33+O33+P33+Q33+Q33+Q33+Q33+R33+S33+T33+U33+V33+W33+X33+Y33+Z33+AA33+AB33+AG33+AH33+AI34+AJ33+AK33+AL33+AN33+AO33+AR33+AS33+AT33+AU33+AV33+AW33+AX33+AZ33+BC33+BE33+BF33+BH33+BJ33</f>
        <v>19688.310000000001</v>
      </c>
      <c r="BO33" s="89">
        <f t="shared" si="2"/>
        <v>12000</v>
      </c>
      <c r="BP33" s="89">
        <f t="shared" si="0"/>
        <v>7688.3100000000013</v>
      </c>
    </row>
    <row r="34" spans="1:68" x14ac:dyDescent="0.25">
      <c r="A34" s="90"/>
      <c r="B34" s="90" t="s">
        <v>59</v>
      </c>
      <c r="C34" s="101" t="s">
        <v>299</v>
      </c>
      <c r="D34" s="91">
        <v>203668</v>
      </c>
      <c r="E34" s="88"/>
      <c r="F34" s="4">
        <v>7688.31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>
        <v>7688.31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N34" s="89" t="e">
        <f>J34+K34+M34+N34+O34+P34+Q34+Q34+Q34+Q34+R34+S34+T34+U34+V34+W34+X34+Y34+Z34+AA34+AB34+AG34+AH34+#REF!+AJ34+AK34+AL34+AN34+AO34+AR34+AS34+AT34+AU34+AV34+AW34+AX34+AZ34+BC34+BE34+BF34+BH34+BJ34</f>
        <v>#REF!</v>
      </c>
      <c r="BO34" s="89">
        <f t="shared" si="2"/>
        <v>7688.31</v>
      </c>
      <c r="BP34" s="89" t="e">
        <f t="shared" si="0"/>
        <v>#REF!</v>
      </c>
    </row>
    <row r="35" spans="1:68" x14ac:dyDescent="0.25">
      <c r="A35" s="92"/>
      <c r="B35" s="92" t="s">
        <v>291</v>
      </c>
      <c r="C35" s="101" t="s">
        <v>292</v>
      </c>
      <c r="D35" s="91">
        <v>203669</v>
      </c>
      <c r="E35" s="88"/>
      <c r="F35" s="4">
        <v>2100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>
        <v>2100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N35" s="89">
        <f t="shared" si="1"/>
        <v>0</v>
      </c>
      <c r="BO35" s="89">
        <f t="shared" si="2"/>
        <v>2100</v>
      </c>
      <c r="BP35" s="89">
        <f t="shared" si="0"/>
        <v>-2100</v>
      </c>
    </row>
    <row r="36" spans="1:68" x14ac:dyDescent="0.25">
      <c r="A36" s="92" t="s">
        <v>293</v>
      </c>
      <c r="B36" s="92" t="s">
        <v>219</v>
      </c>
      <c r="C36" s="159" t="s">
        <v>294</v>
      </c>
      <c r="D36" s="91">
        <v>203672</v>
      </c>
      <c r="E36" s="88"/>
      <c r="F36" s="4">
        <v>1040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>
        <v>1040</v>
      </c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N36" s="89"/>
      <c r="BO36" s="89">
        <f t="shared" si="2"/>
        <v>1040</v>
      </c>
      <c r="BP36" s="89"/>
    </row>
    <row r="37" spans="1:68" x14ac:dyDescent="0.25">
      <c r="A37" s="92"/>
      <c r="B37" s="92" t="s">
        <v>297</v>
      </c>
      <c r="C37" s="159" t="s">
        <v>298</v>
      </c>
      <c r="D37" s="91">
        <v>203671</v>
      </c>
      <c r="E37" s="88"/>
      <c r="F37" s="4">
        <v>7900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>
        <v>7900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N37" s="89"/>
      <c r="BO37" s="89">
        <f t="shared" si="2"/>
        <v>7900</v>
      </c>
      <c r="BP37" s="89"/>
    </row>
    <row r="38" spans="1:68" x14ac:dyDescent="0.25">
      <c r="A38" s="92"/>
      <c r="B38" s="92" t="s">
        <v>59</v>
      </c>
      <c r="C38" s="101" t="s">
        <v>300</v>
      </c>
      <c r="D38" s="91">
        <v>203673</v>
      </c>
      <c r="E38" s="88"/>
      <c r="F38" s="4">
        <v>7658.34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>
        <v>7658.34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N38" s="89"/>
      <c r="BO38" s="89">
        <f t="shared" si="2"/>
        <v>7658.34</v>
      </c>
      <c r="BP38" s="89"/>
    </row>
    <row r="39" spans="1:68" x14ac:dyDescent="0.25">
      <c r="A39" s="92"/>
      <c r="B39" s="92" t="s">
        <v>59</v>
      </c>
      <c r="C39" s="101" t="s">
        <v>301</v>
      </c>
      <c r="D39" s="91">
        <v>203674</v>
      </c>
      <c r="E39" s="88"/>
      <c r="F39" s="4">
        <v>5085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>
        <v>5085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N39" s="89"/>
      <c r="BO39" s="89">
        <f t="shared" si="2"/>
        <v>5085</v>
      </c>
      <c r="BP39" s="89"/>
    </row>
    <row r="40" spans="1:68" x14ac:dyDescent="0.25">
      <c r="A40" s="92"/>
      <c r="B40" s="92" t="s">
        <v>59</v>
      </c>
      <c r="C40" s="101" t="s">
        <v>302</v>
      </c>
      <c r="D40" s="91">
        <v>203675</v>
      </c>
      <c r="E40" s="88"/>
      <c r="F40" s="4">
        <v>15000</v>
      </c>
      <c r="G40" s="4"/>
      <c r="H40" s="4"/>
      <c r="I40" s="4"/>
      <c r="J40" s="4"/>
      <c r="K40" s="4">
        <v>15000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N40" s="89"/>
      <c r="BO40" s="89">
        <f t="shared" si="2"/>
        <v>15000</v>
      </c>
      <c r="BP40" s="89"/>
    </row>
    <row r="41" spans="1:68" x14ac:dyDescent="0.25">
      <c r="A41" s="92" t="s">
        <v>295</v>
      </c>
      <c r="B41" s="90" t="s">
        <v>218</v>
      </c>
      <c r="C41" s="101" t="s">
        <v>289</v>
      </c>
      <c r="D41" s="91">
        <v>203670</v>
      </c>
      <c r="E41" s="88" t="s">
        <v>296</v>
      </c>
      <c r="F41" s="4"/>
      <c r="G41" s="4"/>
      <c r="H41" s="4">
        <v>30000</v>
      </c>
      <c r="I41" s="4"/>
      <c r="J41" s="4">
        <v>30000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N41" s="89">
        <f t="shared" ref="BN41:BN51" si="3">J41+K41+M41+N41+O41+P41+Q41+Q41+Q41+Q41+R41+S41+T41+U41+V41+W41+X41+Y41+Z41+AA41+AB41+AG41+AH41+AI41+AJ41+AK41+AL41+AN41+AO41+AR41+AS41+AT41+AU41+AV41+AW41+AX41+AZ41+BC41+BE41+BF41+BH41+BJ41</f>
        <v>30000</v>
      </c>
      <c r="BO41" s="89">
        <f t="shared" ref="BO41:BO51" si="4">F41+G41+H41+I41+L41+BG41+BI41+BK41</f>
        <v>30000</v>
      </c>
      <c r="BP41" s="89">
        <f t="shared" si="0"/>
        <v>0</v>
      </c>
    </row>
    <row r="42" spans="1:68" x14ac:dyDescent="0.25">
      <c r="A42" s="92"/>
      <c r="B42" s="92"/>
      <c r="C42" s="158" t="s">
        <v>303</v>
      </c>
      <c r="D42" s="91">
        <v>203676</v>
      </c>
      <c r="E42" s="8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N42" s="89">
        <f t="shared" si="3"/>
        <v>0</v>
      </c>
      <c r="BO42" s="89">
        <f t="shared" si="4"/>
        <v>0</v>
      </c>
      <c r="BP42" s="89">
        <f t="shared" si="0"/>
        <v>0</v>
      </c>
    </row>
    <row r="43" spans="1:68" x14ac:dyDescent="0.25">
      <c r="A43" s="92"/>
      <c r="B43" s="92" t="s">
        <v>219</v>
      </c>
      <c r="C43" s="101" t="s">
        <v>201</v>
      </c>
      <c r="D43" s="91">
        <v>203677</v>
      </c>
      <c r="F43" s="4"/>
      <c r="G43" s="4">
        <v>3810.5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>
        <v>270</v>
      </c>
      <c r="V43" s="4">
        <v>330</v>
      </c>
      <c r="W43" s="4"/>
      <c r="X43" s="4"/>
      <c r="Y43" s="4"/>
      <c r="Z43" s="4"/>
      <c r="AA43" s="4">
        <v>3078</v>
      </c>
      <c r="AB43" s="4"/>
      <c r="AC43" s="4"/>
      <c r="AD43" s="4"/>
      <c r="AE43" s="4"/>
      <c r="AF43" s="4"/>
      <c r="AG43" s="4"/>
      <c r="AH43" s="4"/>
      <c r="AI43" s="4"/>
      <c r="AJ43" s="4"/>
      <c r="AK43" s="4">
        <v>132.5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N43" s="89">
        <f t="shared" si="3"/>
        <v>3810.5</v>
      </c>
      <c r="BO43" s="89">
        <f t="shared" si="4"/>
        <v>3810.5</v>
      </c>
      <c r="BP43" s="89">
        <f t="shared" si="0"/>
        <v>0</v>
      </c>
    </row>
    <row r="44" spans="1:68" x14ac:dyDescent="0.25">
      <c r="A44" s="92" t="s">
        <v>351</v>
      </c>
      <c r="B44" s="92"/>
      <c r="C44" s="101" t="s">
        <v>375</v>
      </c>
      <c r="D44" s="91"/>
      <c r="F44" s="4"/>
      <c r="G44" s="4"/>
      <c r="H44" s="4"/>
      <c r="I44" s="4"/>
      <c r="J44" s="4"/>
      <c r="K44" s="4"/>
      <c r="L44" s="4">
        <v>15000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v>12345.5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N44" s="89"/>
      <c r="BO44" s="89"/>
      <c r="BP44" s="89"/>
    </row>
    <row r="45" spans="1:68" x14ac:dyDescent="0.25">
      <c r="A45" s="90" t="s">
        <v>360</v>
      </c>
      <c r="B45" s="90" t="s">
        <v>218</v>
      </c>
      <c r="C45" s="101" t="s">
        <v>289</v>
      </c>
      <c r="D45" s="91">
        <v>203678</v>
      </c>
      <c r="E45" s="88" t="s">
        <v>364</v>
      </c>
      <c r="F45" s="4"/>
      <c r="G45" s="4"/>
      <c r="H45" s="4">
        <v>37685</v>
      </c>
      <c r="I45" s="4"/>
      <c r="J45" s="4">
        <v>37685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N45" s="89">
        <f t="shared" si="3"/>
        <v>37685</v>
      </c>
      <c r="BO45" s="89">
        <f t="shared" si="4"/>
        <v>37685</v>
      </c>
      <c r="BP45" s="89">
        <f t="shared" si="0"/>
        <v>0</v>
      </c>
    </row>
    <row r="46" spans="1:68" x14ac:dyDescent="0.25">
      <c r="A46" s="92"/>
      <c r="B46" s="92" t="s">
        <v>365</v>
      </c>
      <c r="C46" s="93" t="s">
        <v>366</v>
      </c>
      <c r="D46" s="91">
        <v>203679</v>
      </c>
      <c r="E46" s="88"/>
      <c r="F46" s="4">
        <v>3000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>
        <v>3000</v>
      </c>
      <c r="BC46" s="4"/>
      <c r="BD46" s="4"/>
      <c r="BE46" s="4"/>
      <c r="BF46" s="4"/>
      <c r="BG46" s="4"/>
      <c r="BH46" s="4"/>
      <c r="BI46" s="4"/>
      <c r="BJ46" s="4"/>
      <c r="BK46" s="4"/>
      <c r="BL46" s="4"/>
      <c r="BN46" s="89">
        <f t="shared" si="3"/>
        <v>0</v>
      </c>
      <c r="BO46" s="89">
        <f t="shared" si="4"/>
        <v>3000</v>
      </c>
      <c r="BP46" s="89">
        <f t="shared" si="0"/>
        <v>-3000</v>
      </c>
    </row>
    <row r="47" spans="1:68" x14ac:dyDescent="0.25">
      <c r="A47" s="92"/>
      <c r="B47" s="92" t="s">
        <v>59</v>
      </c>
      <c r="C47" s="93" t="s">
        <v>367</v>
      </c>
      <c r="D47" s="91">
        <v>203680</v>
      </c>
      <c r="E47" s="88"/>
      <c r="F47" s="4">
        <v>3015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>
        <v>3015</v>
      </c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N47" s="89">
        <f t="shared" si="3"/>
        <v>0</v>
      </c>
      <c r="BO47" s="89">
        <f t="shared" si="4"/>
        <v>3015</v>
      </c>
      <c r="BP47" s="89">
        <f t="shared" si="0"/>
        <v>-3015</v>
      </c>
    </row>
    <row r="48" spans="1:68" x14ac:dyDescent="0.25">
      <c r="A48" s="92"/>
      <c r="B48" s="92" t="s">
        <v>59</v>
      </c>
      <c r="C48" s="93" t="s">
        <v>370</v>
      </c>
      <c r="D48" s="91">
        <v>203681</v>
      </c>
      <c r="E48" s="88"/>
      <c r="F48" s="4">
        <v>106100</v>
      </c>
      <c r="G48" s="4"/>
      <c r="H48" s="4"/>
      <c r="I48" s="4"/>
      <c r="J48" s="4"/>
      <c r="K48" s="4">
        <v>106100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N48" s="89">
        <f t="shared" si="3"/>
        <v>106100</v>
      </c>
      <c r="BO48" s="89">
        <f t="shared" si="4"/>
        <v>106100</v>
      </c>
      <c r="BP48" s="89">
        <f t="shared" si="0"/>
        <v>0</v>
      </c>
    </row>
    <row r="49" spans="1:68" x14ac:dyDescent="0.25">
      <c r="A49" s="92"/>
      <c r="B49" s="92" t="s">
        <v>59</v>
      </c>
      <c r="C49" s="93" t="s">
        <v>371</v>
      </c>
      <c r="D49" s="91">
        <v>203682</v>
      </c>
      <c r="E49" s="88"/>
      <c r="F49" s="4">
        <v>7000</v>
      </c>
      <c r="G49" s="4"/>
      <c r="H49" s="4"/>
      <c r="I49" s="4"/>
      <c r="J49" s="4"/>
      <c r="K49" s="4">
        <v>7000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N49" s="89">
        <f t="shared" si="3"/>
        <v>7000</v>
      </c>
      <c r="BO49" s="89">
        <f t="shared" si="4"/>
        <v>7000</v>
      </c>
      <c r="BP49" s="89">
        <f t="shared" si="0"/>
        <v>0</v>
      </c>
    </row>
    <row r="50" spans="1:68" x14ac:dyDescent="0.25">
      <c r="A50" s="92"/>
      <c r="B50" s="92" t="s">
        <v>59</v>
      </c>
      <c r="C50" s="93" t="s">
        <v>372</v>
      </c>
      <c r="D50" s="91">
        <v>203683</v>
      </c>
      <c r="E50" s="88"/>
      <c r="F50" s="4"/>
      <c r="G50" s="4">
        <v>62909.29</v>
      </c>
      <c r="H50" s="4"/>
      <c r="I50" s="4"/>
      <c r="J50" s="4"/>
      <c r="K50" s="4"/>
      <c r="L50" s="4"/>
      <c r="M50" s="4">
        <v>56703.5</v>
      </c>
      <c r="N50" s="4">
        <v>12500</v>
      </c>
      <c r="O50" s="4">
        <v>2250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>
        <v>5225</v>
      </c>
      <c r="BH50" s="4"/>
      <c r="BI50" s="4">
        <v>1200</v>
      </c>
      <c r="BJ50" s="4"/>
      <c r="BK50" s="4">
        <v>2119.21</v>
      </c>
      <c r="BL50" s="4"/>
      <c r="BN50" s="89">
        <f t="shared" si="3"/>
        <v>71453.5</v>
      </c>
      <c r="BO50" s="89">
        <f t="shared" si="4"/>
        <v>71453.500000000015</v>
      </c>
      <c r="BP50" s="89">
        <f t="shared" si="0"/>
        <v>0</v>
      </c>
    </row>
    <row r="51" spans="1:68" x14ac:dyDescent="0.25">
      <c r="A51" s="92"/>
      <c r="B51" s="92" t="s">
        <v>59</v>
      </c>
      <c r="C51" s="93" t="s">
        <v>373</v>
      </c>
      <c r="D51" s="91">
        <v>203684</v>
      </c>
      <c r="E51" s="88"/>
      <c r="F51" s="4"/>
      <c r="G51" s="4">
        <v>22433.4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>
        <v>10570</v>
      </c>
      <c r="S51" s="4">
        <v>2119.19</v>
      </c>
      <c r="T51" s="4">
        <v>1200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>
        <v>5225</v>
      </c>
      <c r="BG51" s="4"/>
      <c r="BH51" s="4">
        <v>1200</v>
      </c>
      <c r="BI51" s="4"/>
      <c r="BJ51" s="4">
        <v>2119.21</v>
      </c>
      <c r="BK51" s="4"/>
      <c r="BL51" s="4"/>
      <c r="BN51" s="89">
        <f t="shared" si="3"/>
        <v>22433.4</v>
      </c>
      <c r="BO51" s="89">
        <f t="shared" si="4"/>
        <v>22433.4</v>
      </c>
      <c r="BP51" s="89">
        <f t="shared" si="0"/>
        <v>0</v>
      </c>
    </row>
    <row r="52" spans="1:68" ht="15.75" thickBot="1" x14ac:dyDescent="0.3">
      <c r="A52" s="92"/>
      <c r="B52" s="92"/>
      <c r="D52" s="94"/>
      <c r="E52" s="88"/>
      <c r="F52" s="151">
        <f t="shared" ref="F52:AK52" si="5">SUM(F11:F51)</f>
        <v>382100.65</v>
      </c>
      <c r="G52" s="151">
        <f t="shared" si="5"/>
        <v>221460.25</v>
      </c>
      <c r="H52" s="151">
        <f t="shared" si="5"/>
        <v>81497</v>
      </c>
      <c r="I52" s="151">
        <f t="shared" si="5"/>
        <v>285</v>
      </c>
      <c r="J52" s="151">
        <f t="shared" si="5"/>
        <v>79685</v>
      </c>
      <c r="K52" s="151">
        <f t="shared" si="5"/>
        <v>135100</v>
      </c>
      <c r="L52" s="151">
        <f t="shared" si="5"/>
        <v>22000</v>
      </c>
      <c r="M52" s="151">
        <f t="shared" si="5"/>
        <v>113407</v>
      </c>
      <c r="N52" s="151">
        <f t="shared" si="5"/>
        <v>25000</v>
      </c>
      <c r="O52" s="151">
        <f t="shared" si="5"/>
        <v>4500</v>
      </c>
      <c r="P52" s="151">
        <f t="shared" si="5"/>
        <v>42000</v>
      </c>
      <c r="Q52" s="151">
        <f t="shared" si="5"/>
        <v>0</v>
      </c>
      <c r="R52" s="151">
        <f t="shared" si="5"/>
        <v>10570</v>
      </c>
      <c r="S52" s="151">
        <f t="shared" si="5"/>
        <v>2119.19</v>
      </c>
      <c r="T52" s="151">
        <f t="shared" si="5"/>
        <v>1200</v>
      </c>
      <c r="U52" s="151">
        <f t="shared" si="5"/>
        <v>440</v>
      </c>
      <c r="V52" s="151">
        <f t="shared" si="5"/>
        <v>330</v>
      </c>
      <c r="W52" s="151">
        <f t="shared" si="5"/>
        <v>3328.9700000000003</v>
      </c>
      <c r="X52" s="151">
        <f t="shared" si="5"/>
        <v>0</v>
      </c>
      <c r="Y52" s="151">
        <f t="shared" si="5"/>
        <v>0</v>
      </c>
      <c r="Z52" s="151">
        <f t="shared" si="5"/>
        <v>0</v>
      </c>
      <c r="AA52" s="151">
        <f t="shared" si="5"/>
        <v>54364.3</v>
      </c>
      <c r="AB52" s="151">
        <f t="shared" si="5"/>
        <v>0</v>
      </c>
      <c r="AC52" s="151">
        <f t="shared" si="5"/>
        <v>111556</v>
      </c>
      <c r="AD52" s="151">
        <f t="shared" si="5"/>
        <v>12000</v>
      </c>
      <c r="AE52" s="151">
        <f t="shared" si="5"/>
        <v>52000</v>
      </c>
      <c r="AF52" s="151">
        <f t="shared" si="5"/>
        <v>2100</v>
      </c>
      <c r="AG52" s="151">
        <f t="shared" si="5"/>
        <v>6500</v>
      </c>
      <c r="AH52" s="151">
        <f t="shared" si="5"/>
        <v>13785.5</v>
      </c>
      <c r="AI52" s="151">
        <f t="shared" si="5"/>
        <v>15346.650000000001</v>
      </c>
      <c r="AJ52" s="151">
        <f t="shared" si="5"/>
        <v>8129.5</v>
      </c>
      <c r="AK52" s="151">
        <f t="shared" si="5"/>
        <v>2597.79</v>
      </c>
      <c r="AL52" s="151">
        <f t="shared" ref="AL52:BL52" si="6">SUM(AL11:AL51)</f>
        <v>0</v>
      </c>
      <c r="AM52" s="151">
        <f t="shared" si="6"/>
        <v>3015</v>
      </c>
      <c r="AN52" s="151">
        <f t="shared" si="6"/>
        <v>0</v>
      </c>
      <c r="AO52" s="151">
        <f t="shared" si="6"/>
        <v>0</v>
      </c>
      <c r="AP52" s="151">
        <f t="shared" si="6"/>
        <v>0</v>
      </c>
      <c r="AQ52" s="151">
        <f t="shared" si="6"/>
        <v>0</v>
      </c>
      <c r="AR52" s="151">
        <f t="shared" si="6"/>
        <v>0</v>
      </c>
      <c r="AS52" s="151">
        <f t="shared" si="6"/>
        <v>0</v>
      </c>
      <c r="AT52" s="151">
        <f t="shared" si="6"/>
        <v>0</v>
      </c>
      <c r="AU52" s="151">
        <f t="shared" si="6"/>
        <v>0</v>
      </c>
      <c r="AV52" s="151">
        <f t="shared" si="6"/>
        <v>0</v>
      </c>
      <c r="AW52" s="151">
        <f t="shared" si="6"/>
        <v>0</v>
      </c>
      <c r="AX52" s="151">
        <f t="shared" si="6"/>
        <v>0</v>
      </c>
      <c r="AY52" s="151">
        <f t="shared" si="6"/>
        <v>1040</v>
      </c>
      <c r="AZ52" s="151">
        <f t="shared" si="6"/>
        <v>0</v>
      </c>
      <c r="BA52" s="151">
        <f t="shared" si="6"/>
        <v>0</v>
      </c>
      <c r="BB52" s="151">
        <f t="shared" si="6"/>
        <v>3000</v>
      </c>
      <c r="BC52" s="151">
        <f t="shared" si="6"/>
        <v>0</v>
      </c>
      <c r="BD52" s="151">
        <f t="shared" si="6"/>
        <v>0</v>
      </c>
      <c r="BE52" s="151">
        <f t="shared" si="6"/>
        <v>285</v>
      </c>
      <c r="BF52" s="151">
        <f t="shared" si="6"/>
        <v>5225</v>
      </c>
      <c r="BG52" s="151">
        <f t="shared" si="6"/>
        <v>5225</v>
      </c>
      <c r="BH52" s="151">
        <f t="shared" si="6"/>
        <v>1200</v>
      </c>
      <c r="BI52" s="151">
        <f t="shared" si="6"/>
        <v>1200</v>
      </c>
      <c r="BJ52" s="151">
        <f t="shared" si="6"/>
        <v>2119.21</v>
      </c>
      <c r="BK52" s="151">
        <f t="shared" si="6"/>
        <v>2119.21</v>
      </c>
      <c r="BL52" s="151">
        <f t="shared" si="6"/>
        <v>0</v>
      </c>
    </row>
    <row r="53" spans="1:68" ht="15.75" thickTop="1" x14ac:dyDescent="0.25">
      <c r="A53" s="92"/>
      <c r="B53" s="92"/>
      <c r="D53" s="94"/>
      <c r="E53" s="9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4"/>
    </row>
    <row r="54" spans="1:68" x14ac:dyDescent="0.25">
      <c r="A54" s="92"/>
      <c r="B54" s="92"/>
      <c r="D54" s="94"/>
      <c r="E54" s="9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:68" x14ac:dyDescent="0.25">
      <c r="A55" s="92"/>
      <c r="B55" s="92"/>
      <c r="D55" s="94"/>
      <c r="E55" s="9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68" x14ac:dyDescent="0.25">
      <c r="A56" s="92"/>
      <c r="B56" s="92"/>
      <c r="D56" s="94"/>
      <c r="E56" s="9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:68" x14ac:dyDescent="0.25">
      <c r="A57" s="92"/>
      <c r="B57" s="92"/>
      <c r="D57" s="94"/>
      <c r="E57" s="9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:68" x14ac:dyDescent="0.25">
      <c r="A58" s="92"/>
      <c r="B58" s="92"/>
      <c r="D58" s="94"/>
      <c r="E58" s="9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8" x14ac:dyDescent="0.25">
      <c r="A59" s="92"/>
      <c r="B59" s="92"/>
      <c r="D59" s="94"/>
      <c r="E59" s="9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1:68" x14ac:dyDescent="0.25">
      <c r="A60" s="92"/>
      <c r="B60" s="92"/>
      <c r="D60" s="94"/>
      <c r="E60" s="9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1:68" x14ac:dyDescent="0.25">
      <c r="A61" s="92"/>
      <c r="B61" s="92"/>
      <c r="D61" s="94"/>
      <c r="E61" s="9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1:68" x14ac:dyDescent="0.25">
      <c r="A62" s="92"/>
      <c r="B62" s="92"/>
      <c r="D62" s="94"/>
      <c r="E62" s="9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1:68" x14ac:dyDescent="0.25">
      <c r="A63" s="92"/>
      <c r="B63" s="92"/>
      <c r="D63" s="94"/>
      <c r="E63" s="9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1:68" x14ac:dyDescent="0.25">
      <c r="A64" s="92"/>
      <c r="B64" s="92"/>
      <c r="D64" s="94"/>
      <c r="E64" s="9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1:64" x14ac:dyDescent="0.25">
      <c r="A65" s="92"/>
      <c r="B65" s="92"/>
      <c r="D65" s="94"/>
      <c r="E65" s="9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1:64" x14ac:dyDescent="0.25">
      <c r="A66" s="92"/>
      <c r="B66" s="92"/>
      <c r="D66" s="94"/>
      <c r="E66" s="9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1:64" x14ac:dyDescent="0.25">
      <c r="A67" s="92"/>
      <c r="B67" s="92"/>
      <c r="D67" s="94"/>
      <c r="E67" s="9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1:64" x14ac:dyDescent="0.25">
      <c r="A68" s="92"/>
      <c r="B68" s="92"/>
      <c r="D68" s="94"/>
      <c r="E68" s="9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1:64" x14ac:dyDescent="0.25">
      <c r="A69" s="92"/>
      <c r="B69" s="92"/>
      <c r="D69" s="94"/>
      <c r="E69" s="9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1:64" x14ac:dyDescent="0.25">
      <c r="A70" s="92"/>
      <c r="B70" s="92"/>
      <c r="D70" s="94"/>
      <c r="E70" s="9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4"/>
    </row>
    <row r="71" spans="1:64" x14ac:dyDescent="0.25">
      <c r="A71" s="92"/>
      <c r="B71" s="92"/>
      <c r="D71" s="94"/>
      <c r="E71" s="95"/>
      <c r="F71" s="4"/>
      <c r="G71" s="4"/>
      <c r="H71" s="4"/>
      <c r="I71" s="4"/>
      <c r="J71" s="4"/>
      <c r="K71" s="6">
        <f>K70-L70</f>
        <v>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1"/>
    </row>
    <row r="72" spans="1:64" x14ac:dyDescent="0.25">
      <c r="A72" s="92"/>
      <c r="B72" s="92"/>
      <c r="D72" s="94"/>
      <c r="E72" s="9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1"/>
    </row>
    <row r="73" spans="1:64" x14ac:dyDescent="0.25">
      <c r="A73" s="92"/>
      <c r="B73" s="92"/>
      <c r="D73" s="94"/>
      <c r="E73" s="9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1"/>
    </row>
    <row r="74" spans="1:64" hidden="1" x14ac:dyDescent="0.25">
      <c r="A74" s="92"/>
      <c r="B74" s="92"/>
      <c r="D74" s="94"/>
      <c r="E74" s="95"/>
      <c r="G74" s="4"/>
      <c r="H74" s="4"/>
      <c r="I74" s="4" t="s">
        <v>58</v>
      </c>
      <c r="J74" s="4" t="e">
        <f>+SUM(J70:K70,#REF!,M70,N70,R70:Y70,AA70:AO70,AR70:BF70,BH70,BJ70)</f>
        <v>#REF!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1"/>
    </row>
    <row r="75" spans="1:64" hidden="1" x14ac:dyDescent="0.25">
      <c r="A75" s="92"/>
      <c r="B75" s="92"/>
      <c r="D75" s="94"/>
      <c r="E75" s="95"/>
      <c r="F75" s="4"/>
      <c r="G75" s="4"/>
      <c r="H75" s="4"/>
      <c r="I75" s="4" t="s">
        <v>56</v>
      </c>
      <c r="J75" s="4">
        <f>+SUM(F70:I70,L70,BG70,BI70,BK70)</f>
        <v>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1"/>
    </row>
    <row r="76" spans="1:64" hidden="1" x14ac:dyDescent="0.25">
      <c r="A76" s="92"/>
      <c r="B76" s="92"/>
      <c r="D76" s="94"/>
      <c r="E76" s="95"/>
      <c r="F76" s="4"/>
      <c r="G76" s="4"/>
      <c r="H76" s="4"/>
      <c r="I76" s="4"/>
      <c r="J76" s="4" t="e">
        <f>+J74-J75</f>
        <v>#REF!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1"/>
    </row>
    <row r="77" spans="1:64" hidden="1" x14ac:dyDescent="0.25">
      <c r="A77" s="92"/>
      <c r="B77" s="92"/>
      <c r="D77" s="94"/>
      <c r="E77" s="9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1"/>
    </row>
    <row r="78" spans="1:64" x14ac:dyDescent="0.25">
      <c r="A78" s="92"/>
      <c r="B78" s="92"/>
      <c r="D78" s="94"/>
      <c r="E78" s="9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1"/>
    </row>
    <row r="79" spans="1:64" x14ac:dyDescent="0.25">
      <c r="A79" s="92"/>
      <c r="B79" s="92"/>
      <c r="D79" s="94"/>
      <c r="E79" s="9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1"/>
    </row>
    <row r="80" spans="1:64" x14ac:dyDescent="0.25">
      <c r="A80" s="92"/>
      <c r="B80" s="92"/>
      <c r="D80" s="94"/>
      <c r="E80" s="9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1"/>
    </row>
    <row r="81" spans="1:64" x14ac:dyDescent="0.25">
      <c r="A81" s="92"/>
      <c r="B81" s="92"/>
      <c r="D81" s="94"/>
      <c r="E81" s="9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1"/>
    </row>
    <row r="82" spans="1:64" x14ac:dyDescent="0.25">
      <c r="A82" s="92"/>
      <c r="B82" s="92"/>
      <c r="D82" s="94"/>
      <c r="E82" s="9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1"/>
    </row>
    <row r="83" spans="1:64" x14ac:dyDescent="0.25">
      <c r="A83" s="92"/>
      <c r="B83" s="92"/>
      <c r="D83" s="94"/>
      <c r="E83" s="9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1"/>
    </row>
    <row r="84" spans="1:64" x14ac:dyDescent="0.25">
      <c r="A84" s="96"/>
      <c r="B84" s="96"/>
      <c r="I84" s="4"/>
      <c r="AH84" s="4"/>
      <c r="AI84" s="4"/>
      <c r="BD84" s="4"/>
      <c r="BE84" s="4"/>
    </row>
    <row r="85" spans="1:64" x14ac:dyDescent="0.25">
      <c r="A85" s="96"/>
      <c r="B85" s="96"/>
      <c r="F85" s="97"/>
      <c r="G85" s="97"/>
      <c r="H85" s="6"/>
      <c r="I85" s="98"/>
      <c r="J85" s="98"/>
      <c r="K85" s="98"/>
      <c r="L85" s="6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6"/>
      <c r="AI85" s="6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6"/>
      <c r="BE85" s="6"/>
      <c r="BF85" s="98"/>
      <c r="BG85" s="98"/>
      <c r="BH85" s="98"/>
      <c r="BI85" s="98"/>
      <c r="BJ85" s="98"/>
      <c r="BK85" s="98"/>
    </row>
    <row r="86" spans="1:64" x14ac:dyDescent="0.25">
      <c r="K86" s="99"/>
    </row>
    <row r="87" spans="1:64" x14ac:dyDescent="0.25">
      <c r="K87" s="99"/>
    </row>
    <row r="88" spans="1:64" x14ac:dyDescent="0.25">
      <c r="K88" s="99"/>
    </row>
    <row r="89" spans="1:64" x14ac:dyDescent="0.25">
      <c r="A89" s="96"/>
      <c r="B89" s="96"/>
    </row>
  </sheetData>
  <mergeCells count="7">
    <mergeCell ref="K8:L8"/>
    <mergeCell ref="BF8:BG8"/>
    <mergeCell ref="BH8:BI8"/>
    <mergeCell ref="BJ8:BK8"/>
    <mergeCell ref="BF9:BG9"/>
    <mergeCell ref="BH9:BI9"/>
    <mergeCell ref="BJ9:BK9"/>
  </mergeCells>
  <phoneticPr fontId="18" type="noConversion"/>
  <pageMargins left="0.25" right="0.25" top="0.75" bottom="0.75" header="0.3" footer="0.3"/>
  <pageSetup paperSize="14" scale="48" fitToWidth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A854-AB92-42F8-9BE7-0D4FDFDC345A}">
  <sheetPr>
    <pageSetUpPr fitToPage="1"/>
  </sheetPr>
  <dimension ref="A1:AS138"/>
  <sheetViews>
    <sheetView topLeftCell="F1" zoomScale="69" zoomScaleNormal="69" workbookViewId="0">
      <selection sqref="A1:AJ85"/>
    </sheetView>
  </sheetViews>
  <sheetFormatPr defaultColWidth="9" defaultRowHeight="15.75" x14ac:dyDescent="0.2"/>
  <cols>
    <col min="1" max="1" width="14.85546875" style="109" customWidth="1"/>
    <col min="2" max="2" width="33.28515625" style="110" hidden="1" customWidth="1"/>
    <col min="3" max="3" width="66.140625" style="105" bestFit="1" customWidth="1"/>
    <col min="4" max="4" width="15" style="110" bestFit="1" customWidth="1"/>
    <col min="5" max="5" width="16" style="105" bestFit="1" customWidth="1"/>
    <col min="6" max="6" width="14.28515625" style="56" customWidth="1"/>
    <col min="7" max="8" width="16.140625" style="7" bestFit="1" customWidth="1"/>
    <col min="9" max="10" width="17.7109375" style="7" customWidth="1"/>
    <col min="11" max="11" width="16.85546875" style="7" customWidth="1"/>
    <col min="12" max="12" width="18.5703125" style="7" customWidth="1"/>
    <col min="13" max="13" width="24.140625" style="7" bestFit="1" customWidth="1"/>
    <col min="14" max="14" width="19.42578125" style="7" customWidth="1"/>
    <col min="15" max="15" width="14.42578125" style="7" hidden="1" customWidth="1"/>
    <col min="16" max="16" width="14" style="7" customWidth="1"/>
    <col min="17" max="17" width="16.140625" style="7" hidden="1" customWidth="1"/>
    <col min="18" max="18" width="13.85546875" style="7" customWidth="1"/>
    <col min="19" max="19" width="13.85546875" style="7" hidden="1" customWidth="1"/>
    <col min="20" max="20" width="12.42578125" style="7" customWidth="1"/>
    <col min="21" max="21" width="15.140625" style="7" hidden="1" customWidth="1"/>
    <col min="22" max="22" width="14.7109375" style="7" hidden="1" customWidth="1"/>
    <col min="23" max="23" width="17" style="7" customWidth="1"/>
    <col min="24" max="24" width="16.5703125" style="7" hidden="1" customWidth="1"/>
    <col min="25" max="25" width="15.42578125" style="7" customWidth="1"/>
    <col min="26" max="26" width="13.140625" style="7" customWidth="1"/>
    <col min="27" max="27" width="17.42578125" style="7" customWidth="1"/>
    <col min="28" max="28" width="18.85546875" style="7" customWidth="1"/>
    <col min="29" max="29" width="19.28515625" style="7" customWidth="1"/>
    <col min="30" max="30" width="14.42578125" style="7" hidden="1" customWidth="1"/>
    <col min="31" max="31" width="14.42578125" style="7" customWidth="1"/>
    <col min="32" max="32" width="12.5703125" style="7" hidden="1" customWidth="1"/>
    <col min="33" max="33" width="16.42578125" style="7" hidden="1" customWidth="1"/>
    <col min="34" max="34" width="16.42578125" style="7" customWidth="1"/>
    <col min="35" max="35" width="18" style="7" hidden="1" customWidth="1"/>
    <col min="36" max="36" width="18" style="7" customWidth="1"/>
    <col min="37" max="37" width="19.42578125" style="7" customWidth="1"/>
    <col min="38" max="38" width="9" style="56" customWidth="1"/>
    <col min="39" max="40" width="16.42578125" style="56" customWidth="1"/>
    <col min="41" max="41" width="13.140625" style="56" customWidth="1"/>
    <col min="42" max="42" width="14.28515625" style="56" customWidth="1"/>
    <col min="43" max="43" width="14.5703125" style="56" customWidth="1"/>
    <col min="44" max="44" width="16.85546875" style="56" customWidth="1"/>
    <col min="45" max="45" width="12.85546875" style="7" customWidth="1"/>
    <col min="46" max="16384" width="9" style="56"/>
  </cols>
  <sheetData>
    <row r="1" spans="1:43" x14ac:dyDescent="0.25">
      <c r="C1" s="110"/>
      <c r="H1" s="8"/>
      <c r="J1" s="8"/>
      <c r="O1" s="111" t="s">
        <v>0</v>
      </c>
      <c r="R1" s="62" t="s">
        <v>0</v>
      </c>
    </row>
    <row r="2" spans="1:43" x14ac:dyDescent="0.25">
      <c r="C2" s="110"/>
      <c r="H2" s="8"/>
      <c r="J2" s="8"/>
      <c r="O2" s="111" t="s">
        <v>1</v>
      </c>
      <c r="R2" s="62" t="s">
        <v>1</v>
      </c>
    </row>
    <row r="3" spans="1:43" x14ac:dyDescent="0.25">
      <c r="C3" s="110"/>
      <c r="H3" s="8"/>
      <c r="J3" s="8"/>
      <c r="O3" s="111" t="s">
        <v>2</v>
      </c>
      <c r="R3" s="62" t="s">
        <v>2</v>
      </c>
    </row>
    <row r="4" spans="1:43" x14ac:dyDescent="0.25">
      <c r="C4" s="110"/>
      <c r="H4" s="8"/>
      <c r="J4" s="8"/>
      <c r="O4" s="111"/>
      <c r="R4" s="62"/>
    </row>
    <row r="5" spans="1:43" x14ac:dyDescent="0.25">
      <c r="C5" s="110"/>
      <c r="H5" s="8"/>
      <c r="J5" s="8"/>
      <c r="O5" s="111" t="s">
        <v>60</v>
      </c>
      <c r="R5" s="62" t="s">
        <v>60</v>
      </c>
    </row>
    <row r="6" spans="1:43" x14ac:dyDescent="0.25">
      <c r="C6" s="110"/>
      <c r="H6" s="8"/>
      <c r="J6" s="8"/>
      <c r="O6" s="111" t="s">
        <v>230</v>
      </c>
      <c r="R6" s="62" t="s">
        <v>304</v>
      </c>
    </row>
    <row r="8" spans="1:43" x14ac:dyDescent="0.25">
      <c r="A8" s="172"/>
      <c r="B8" s="172"/>
      <c r="C8" s="112"/>
      <c r="D8" s="173"/>
      <c r="E8" s="112"/>
      <c r="F8" s="113" t="s">
        <v>61</v>
      </c>
      <c r="G8" s="182" t="s">
        <v>62</v>
      </c>
      <c r="H8" s="183"/>
      <c r="I8" s="9" t="s">
        <v>4</v>
      </c>
      <c r="J8" s="10" t="s">
        <v>5</v>
      </c>
      <c r="K8" s="10" t="s">
        <v>6</v>
      </c>
      <c r="L8" s="11" t="s">
        <v>7</v>
      </c>
      <c r="M8" s="11" t="s">
        <v>206</v>
      </c>
      <c r="N8" s="10" t="s">
        <v>63</v>
      </c>
      <c r="O8" s="10" t="s">
        <v>64</v>
      </c>
      <c r="P8" s="10" t="s">
        <v>65</v>
      </c>
      <c r="Q8" s="10" t="s">
        <v>66</v>
      </c>
      <c r="R8" s="10" t="s">
        <v>67</v>
      </c>
      <c r="S8" s="10" t="s">
        <v>68</v>
      </c>
      <c r="T8" s="10" t="s">
        <v>64</v>
      </c>
      <c r="U8" s="10" t="s">
        <v>196</v>
      </c>
      <c r="V8" s="10" t="s">
        <v>68</v>
      </c>
      <c r="W8" s="10" t="s">
        <v>69</v>
      </c>
      <c r="X8" s="10" t="s">
        <v>70</v>
      </c>
      <c r="Y8" s="10" t="s">
        <v>71</v>
      </c>
      <c r="Z8" s="10" t="s">
        <v>72</v>
      </c>
      <c r="AA8" s="10" t="s">
        <v>73</v>
      </c>
      <c r="AB8" s="10" t="s">
        <v>73</v>
      </c>
      <c r="AC8" s="10" t="s">
        <v>73</v>
      </c>
      <c r="AD8" s="10" t="s">
        <v>74</v>
      </c>
      <c r="AE8" s="10" t="s">
        <v>70</v>
      </c>
      <c r="AF8" s="10" t="s">
        <v>75</v>
      </c>
      <c r="AG8" s="10" t="s">
        <v>76</v>
      </c>
      <c r="AH8" s="10" t="s">
        <v>77</v>
      </c>
      <c r="AI8" s="10" t="s">
        <v>199</v>
      </c>
      <c r="AJ8" s="10" t="s">
        <v>204</v>
      </c>
      <c r="AK8" s="10" t="s">
        <v>78</v>
      </c>
    </row>
    <row r="9" spans="1:43" ht="15.75" customHeight="1" x14ac:dyDescent="0.25">
      <c r="A9" s="174" t="s">
        <v>34</v>
      </c>
      <c r="B9" s="114" t="s">
        <v>79</v>
      </c>
      <c r="C9" s="115" t="s">
        <v>80</v>
      </c>
      <c r="D9" s="175" t="s">
        <v>81</v>
      </c>
      <c r="E9" s="115" t="s">
        <v>82</v>
      </c>
      <c r="F9" s="116" t="s">
        <v>83</v>
      </c>
      <c r="G9" s="184"/>
      <c r="H9" s="185"/>
      <c r="I9" s="12" t="s">
        <v>39</v>
      </c>
      <c r="J9" s="13" t="s">
        <v>40</v>
      </c>
      <c r="K9" s="14" t="s">
        <v>41</v>
      </c>
      <c r="L9" s="15">
        <v>6978</v>
      </c>
      <c r="M9" s="15" t="s">
        <v>205</v>
      </c>
      <c r="N9" s="14" t="s">
        <v>84</v>
      </c>
      <c r="O9" s="14" t="s">
        <v>85</v>
      </c>
      <c r="P9" s="14" t="s">
        <v>86</v>
      </c>
      <c r="Q9" s="14"/>
      <c r="R9" s="117" t="s">
        <v>87</v>
      </c>
      <c r="S9" s="117" t="s">
        <v>88</v>
      </c>
      <c r="T9" s="14" t="s">
        <v>85</v>
      </c>
      <c r="U9" s="14" t="s">
        <v>85</v>
      </c>
      <c r="V9" s="14" t="s">
        <v>88</v>
      </c>
      <c r="W9" s="14" t="s">
        <v>89</v>
      </c>
      <c r="X9" s="14" t="s">
        <v>86</v>
      </c>
      <c r="Y9" s="14" t="s">
        <v>90</v>
      </c>
      <c r="Z9" s="14" t="s">
        <v>91</v>
      </c>
      <c r="AA9" s="14" t="s">
        <v>92</v>
      </c>
      <c r="AB9" s="14" t="s">
        <v>93</v>
      </c>
      <c r="AC9" s="14" t="s">
        <v>94</v>
      </c>
      <c r="AD9" s="14" t="s">
        <v>95</v>
      </c>
      <c r="AE9" s="14" t="s">
        <v>86</v>
      </c>
      <c r="AF9" s="14" t="s">
        <v>89</v>
      </c>
      <c r="AG9" s="14" t="s">
        <v>96</v>
      </c>
      <c r="AH9" s="14"/>
      <c r="AI9" s="14" t="s">
        <v>200</v>
      </c>
      <c r="AJ9" s="14" t="s">
        <v>73</v>
      </c>
      <c r="AK9" s="14" t="s">
        <v>97</v>
      </c>
      <c r="AP9" s="56" t="s">
        <v>32</v>
      </c>
      <c r="AQ9" s="56" t="s">
        <v>33</v>
      </c>
    </row>
    <row r="10" spans="1:43" x14ac:dyDescent="0.2">
      <c r="A10" s="118"/>
      <c r="B10" s="119"/>
      <c r="C10" s="120"/>
      <c r="D10" s="119"/>
      <c r="E10" s="120"/>
      <c r="F10" s="120"/>
      <c r="G10" s="16" t="s">
        <v>98</v>
      </c>
      <c r="H10" s="17" t="s">
        <v>57</v>
      </c>
      <c r="I10" s="16" t="s">
        <v>98</v>
      </c>
      <c r="J10" s="16" t="s">
        <v>98</v>
      </c>
      <c r="K10" s="17" t="s">
        <v>58</v>
      </c>
      <c r="L10" s="17" t="s">
        <v>58</v>
      </c>
      <c r="M10" s="17"/>
      <c r="N10" s="17" t="s">
        <v>57</v>
      </c>
      <c r="O10" s="17" t="s">
        <v>56</v>
      </c>
      <c r="P10" s="17" t="s">
        <v>57</v>
      </c>
      <c r="Q10" s="17" t="s">
        <v>56</v>
      </c>
      <c r="R10" s="17" t="s">
        <v>56</v>
      </c>
      <c r="S10" s="17"/>
      <c r="T10" s="17" t="s">
        <v>56</v>
      </c>
      <c r="U10" s="17"/>
      <c r="V10" s="17" t="s">
        <v>56</v>
      </c>
      <c r="W10" s="17" t="s">
        <v>56</v>
      </c>
      <c r="X10" s="17" t="s">
        <v>57</v>
      </c>
      <c r="Y10" s="17" t="s">
        <v>57</v>
      </c>
      <c r="Z10" s="17" t="s">
        <v>57</v>
      </c>
      <c r="AA10" s="17" t="s">
        <v>57</v>
      </c>
      <c r="AB10" s="17" t="s">
        <v>57</v>
      </c>
      <c r="AC10" s="17" t="s">
        <v>56</v>
      </c>
      <c r="AD10" s="17" t="s">
        <v>56</v>
      </c>
      <c r="AE10" s="17"/>
      <c r="AF10" s="17" t="s">
        <v>57</v>
      </c>
      <c r="AG10" s="17" t="s">
        <v>56</v>
      </c>
      <c r="AH10" s="17" t="s">
        <v>56</v>
      </c>
      <c r="AI10" s="16" t="s">
        <v>56</v>
      </c>
      <c r="AJ10" s="18" t="s">
        <v>56</v>
      </c>
      <c r="AK10" s="18" t="s">
        <v>56</v>
      </c>
      <c r="AM10" s="56" t="s">
        <v>58</v>
      </c>
      <c r="AN10" s="56" t="s">
        <v>56</v>
      </c>
      <c r="AP10" s="108"/>
      <c r="AQ10" s="108"/>
    </row>
    <row r="11" spans="1:43" x14ac:dyDescent="0.2">
      <c r="A11" s="121">
        <v>46083</v>
      </c>
      <c r="B11" s="122"/>
      <c r="C11" s="123" t="s">
        <v>228</v>
      </c>
      <c r="D11" s="124"/>
      <c r="E11" s="123"/>
      <c r="F11" s="125"/>
      <c r="G11" s="57"/>
      <c r="H11" s="57">
        <v>2023</v>
      </c>
      <c r="I11" s="57"/>
      <c r="J11" s="57"/>
      <c r="K11" s="57">
        <v>2023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M11" s="108">
        <f t="shared" ref="AM11:AM59" si="0">+SUM(G11,I11:L11)</f>
        <v>2023</v>
      </c>
      <c r="AN11" s="108">
        <f t="shared" ref="AN11:AN59" si="1">+SUM(H11,N11:W11,X11:AI11,AK11)</f>
        <v>2023</v>
      </c>
      <c r="AO11" s="108">
        <f t="shared" ref="AO11:AO59" si="2">+AM11-AN11</f>
        <v>0</v>
      </c>
      <c r="AP11" s="108"/>
      <c r="AQ11" s="108"/>
    </row>
    <row r="12" spans="1:43" x14ac:dyDescent="0.2">
      <c r="A12" s="121"/>
      <c r="B12" s="122"/>
      <c r="C12" s="123" t="s">
        <v>203</v>
      </c>
      <c r="D12" s="124"/>
      <c r="E12" s="123"/>
      <c r="F12" s="125"/>
      <c r="G12" s="57"/>
      <c r="H12" s="57">
        <v>93934.32</v>
      </c>
      <c r="I12" s="57"/>
      <c r="J12" s="57">
        <v>93934.32</v>
      </c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M12" s="108">
        <f t="shared" si="0"/>
        <v>93934.32</v>
      </c>
      <c r="AN12" s="108">
        <f t="shared" si="1"/>
        <v>93934.32</v>
      </c>
      <c r="AO12" s="108">
        <f t="shared" si="2"/>
        <v>0</v>
      </c>
      <c r="AP12" s="108"/>
      <c r="AQ12" s="108"/>
    </row>
    <row r="13" spans="1:43" x14ac:dyDescent="0.2">
      <c r="A13" s="121">
        <v>46175</v>
      </c>
      <c r="B13" s="122" t="s">
        <v>306</v>
      </c>
      <c r="C13" s="123" t="s">
        <v>307</v>
      </c>
      <c r="D13" s="124">
        <v>18932</v>
      </c>
      <c r="E13" s="123" t="s">
        <v>100</v>
      </c>
      <c r="F13" s="125">
        <v>46267</v>
      </c>
      <c r="G13" s="57">
        <v>3600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>
        <v>3600</v>
      </c>
      <c r="AD13" s="57"/>
      <c r="AE13" s="57"/>
      <c r="AF13" s="57"/>
      <c r="AG13" s="57"/>
      <c r="AH13" s="57"/>
      <c r="AI13" s="57"/>
      <c r="AJ13" s="57"/>
      <c r="AK13" s="57"/>
      <c r="AM13" s="108">
        <f t="shared" si="0"/>
        <v>3600</v>
      </c>
      <c r="AN13" s="108">
        <f t="shared" si="1"/>
        <v>3600</v>
      </c>
      <c r="AO13" s="108">
        <f t="shared" si="2"/>
        <v>0</v>
      </c>
      <c r="AP13" s="108"/>
      <c r="AQ13" s="108"/>
    </row>
    <row r="14" spans="1:43" x14ac:dyDescent="0.2">
      <c r="A14" s="121">
        <v>46205</v>
      </c>
      <c r="B14" s="122" t="s">
        <v>191</v>
      </c>
      <c r="C14" s="123" t="s">
        <v>101</v>
      </c>
      <c r="D14" s="124" t="s">
        <v>305</v>
      </c>
      <c r="E14" s="123" t="s">
        <v>42</v>
      </c>
      <c r="F14" s="125">
        <v>46267</v>
      </c>
      <c r="G14" s="57">
        <v>840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>
        <v>840</v>
      </c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M14" s="108">
        <f t="shared" si="0"/>
        <v>840</v>
      </c>
      <c r="AN14" s="108">
        <f t="shared" si="1"/>
        <v>840</v>
      </c>
      <c r="AO14" s="108">
        <f t="shared" si="2"/>
        <v>0</v>
      </c>
      <c r="AP14" s="108"/>
      <c r="AQ14" s="108"/>
    </row>
    <row r="15" spans="1:43" x14ac:dyDescent="0.2">
      <c r="A15" s="121">
        <v>46267</v>
      </c>
      <c r="B15" s="122" t="s">
        <v>192</v>
      </c>
      <c r="C15" s="123" t="s">
        <v>101</v>
      </c>
      <c r="D15" s="124">
        <v>31795</v>
      </c>
      <c r="E15" s="123" t="s">
        <v>42</v>
      </c>
      <c r="F15" s="125">
        <v>46267</v>
      </c>
      <c r="G15" s="57">
        <v>480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>
        <v>480</v>
      </c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M15" s="108">
        <f t="shared" si="0"/>
        <v>480</v>
      </c>
      <c r="AN15" s="108">
        <f t="shared" si="1"/>
        <v>480</v>
      </c>
      <c r="AO15" s="108">
        <f t="shared" si="2"/>
        <v>0</v>
      </c>
      <c r="AP15" s="108"/>
      <c r="AQ15" s="108"/>
    </row>
    <row r="16" spans="1:43" x14ac:dyDescent="0.2">
      <c r="A16" s="121"/>
      <c r="B16" s="122" t="s">
        <v>308</v>
      </c>
      <c r="C16" s="123" t="s">
        <v>101</v>
      </c>
      <c r="D16" s="124">
        <v>31796</v>
      </c>
      <c r="E16" s="123" t="s">
        <v>42</v>
      </c>
      <c r="F16" s="125">
        <v>46328</v>
      </c>
      <c r="G16" s="57">
        <v>230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>
        <v>230</v>
      </c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M16" s="108">
        <f t="shared" si="0"/>
        <v>230</v>
      </c>
      <c r="AN16" s="108">
        <f t="shared" si="1"/>
        <v>230</v>
      </c>
      <c r="AO16" s="108">
        <f t="shared" si="2"/>
        <v>0</v>
      </c>
      <c r="AP16" s="108"/>
      <c r="AQ16" s="108"/>
    </row>
    <row r="17" spans="1:43" x14ac:dyDescent="0.2">
      <c r="A17" s="121"/>
      <c r="B17" s="122"/>
      <c r="C17" s="105" t="s">
        <v>309</v>
      </c>
      <c r="D17" s="124"/>
      <c r="E17" s="123"/>
      <c r="F17" s="123"/>
      <c r="G17" s="57"/>
      <c r="H17" s="57">
        <v>3600</v>
      </c>
      <c r="I17" s="57">
        <v>3600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M17" s="108">
        <f t="shared" si="0"/>
        <v>3600</v>
      </c>
      <c r="AN17" s="108">
        <f t="shared" si="1"/>
        <v>3600</v>
      </c>
      <c r="AO17" s="108">
        <f t="shared" si="2"/>
        <v>0</v>
      </c>
      <c r="AP17" s="108"/>
      <c r="AQ17" s="108"/>
    </row>
    <row r="18" spans="1:43" x14ac:dyDescent="0.2">
      <c r="A18" s="121"/>
      <c r="B18" s="122"/>
      <c r="C18" s="123" t="s">
        <v>310</v>
      </c>
      <c r="D18" s="124"/>
      <c r="E18" s="123"/>
      <c r="F18" s="123"/>
      <c r="G18" s="57"/>
      <c r="H18" s="57">
        <v>1320</v>
      </c>
      <c r="I18" s="57"/>
      <c r="J18" s="57"/>
      <c r="K18" s="57">
        <v>1320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M18" s="108">
        <f t="shared" si="0"/>
        <v>1320</v>
      </c>
      <c r="AN18" s="108">
        <f t="shared" si="1"/>
        <v>1320</v>
      </c>
      <c r="AO18" s="108">
        <f t="shared" si="2"/>
        <v>0</v>
      </c>
      <c r="AP18" s="108"/>
      <c r="AQ18" s="108"/>
    </row>
    <row r="19" spans="1:43" x14ac:dyDescent="0.2">
      <c r="A19" s="121">
        <v>46297</v>
      </c>
      <c r="B19" s="122" t="s">
        <v>311</v>
      </c>
      <c r="C19" s="123" t="s">
        <v>194</v>
      </c>
      <c r="D19" s="124">
        <v>18933</v>
      </c>
      <c r="E19" s="123" t="s">
        <v>195</v>
      </c>
      <c r="F19" s="125">
        <v>46328</v>
      </c>
      <c r="G19" s="57">
        <v>120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>
        <v>120</v>
      </c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M19" s="108">
        <f t="shared" si="0"/>
        <v>120</v>
      </c>
      <c r="AN19" s="108">
        <f t="shared" si="1"/>
        <v>120</v>
      </c>
      <c r="AO19" s="108">
        <f t="shared" si="2"/>
        <v>0</v>
      </c>
      <c r="AP19" s="108"/>
      <c r="AQ19" s="108"/>
    </row>
    <row r="20" spans="1:43" x14ac:dyDescent="0.2">
      <c r="A20" s="121"/>
      <c r="B20" s="122" t="s">
        <v>191</v>
      </c>
      <c r="C20" s="123" t="s">
        <v>101</v>
      </c>
      <c r="D20" s="124" t="s">
        <v>312</v>
      </c>
      <c r="E20" s="123" t="s">
        <v>42</v>
      </c>
      <c r="F20" s="125">
        <v>46328</v>
      </c>
      <c r="G20" s="57">
        <v>1501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>
        <v>1501</v>
      </c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M20" s="108">
        <f t="shared" si="0"/>
        <v>1501</v>
      </c>
      <c r="AN20" s="108">
        <f t="shared" si="1"/>
        <v>1501</v>
      </c>
      <c r="AO20" s="108">
        <f t="shared" si="2"/>
        <v>0</v>
      </c>
      <c r="AP20" s="108"/>
      <c r="AQ20" s="108"/>
    </row>
    <row r="21" spans="1:43" x14ac:dyDescent="0.2">
      <c r="A21" s="121">
        <v>46328</v>
      </c>
      <c r="B21" s="122" t="s">
        <v>191</v>
      </c>
      <c r="C21" s="123" t="s">
        <v>101</v>
      </c>
      <c r="D21" s="124" t="s">
        <v>313</v>
      </c>
      <c r="E21" s="123" t="s">
        <v>42</v>
      </c>
      <c r="F21" s="125">
        <v>46358</v>
      </c>
      <c r="G21" s="57">
        <v>1411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>
        <v>1411</v>
      </c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M21" s="108">
        <f t="shared" si="0"/>
        <v>1411</v>
      </c>
      <c r="AN21" s="108">
        <f t="shared" si="1"/>
        <v>1411</v>
      </c>
      <c r="AO21" s="108">
        <f t="shared" si="2"/>
        <v>0</v>
      </c>
      <c r="AP21" s="108"/>
      <c r="AQ21" s="108"/>
    </row>
    <row r="22" spans="1:43" x14ac:dyDescent="0.2">
      <c r="A22" s="121"/>
      <c r="B22" s="122"/>
      <c r="C22" s="123" t="s">
        <v>314</v>
      </c>
      <c r="D22" s="124"/>
      <c r="E22" s="123"/>
      <c r="F22" s="125"/>
      <c r="G22" s="57"/>
      <c r="H22" s="57">
        <v>120</v>
      </c>
      <c r="I22" s="57">
        <v>120</v>
      </c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M22" s="108">
        <f t="shared" si="0"/>
        <v>120</v>
      </c>
      <c r="AN22" s="108">
        <f t="shared" si="1"/>
        <v>120</v>
      </c>
      <c r="AO22" s="108">
        <f t="shared" si="2"/>
        <v>0</v>
      </c>
      <c r="AP22" s="108"/>
      <c r="AQ22" s="108"/>
    </row>
    <row r="23" spans="1:43" x14ac:dyDescent="0.2">
      <c r="A23" s="121"/>
      <c r="B23" s="122"/>
      <c r="C23" s="123" t="s">
        <v>315</v>
      </c>
      <c r="D23" s="124"/>
      <c r="E23" s="123"/>
      <c r="F23" s="125"/>
      <c r="G23" s="57"/>
      <c r="H23" s="57">
        <v>1731</v>
      </c>
      <c r="I23" s="57"/>
      <c r="J23" s="57"/>
      <c r="K23" s="57">
        <v>1731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M23" s="108">
        <f t="shared" si="0"/>
        <v>1731</v>
      </c>
      <c r="AN23" s="108">
        <f t="shared" si="1"/>
        <v>1731</v>
      </c>
      <c r="AO23" s="108">
        <f t="shared" si="2"/>
        <v>0</v>
      </c>
      <c r="AP23" s="108"/>
      <c r="AQ23" s="108"/>
    </row>
    <row r="24" spans="1:43" x14ac:dyDescent="0.2">
      <c r="A24" s="121">
        <v>46358</v>
      </c>
      <c r="B24" s="122" t="s">
        <v>316</v>
      </c>
      <c r="C24" s="123" t="s">
        <v>216</v>
      </c>
      <c r="D24" s="124">
        <v>18934</v>
      </c>
      <c r="E24" s="123" t="s">
        <v>100</v>
      </c>
      <c r="F24" s="125"/>
      <c r="G24" s="57">
        <v>3200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>
        <v>3200</v>
      </c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M24" s="108">
        <f t="shared" si="0"/>
        <v>3200</v>
      </c>
      <c r="AN24" s="108">
        <f t="shared" si="1"/>
        <v>3200</v>
      </c>
      <c r="AO24" s="108">
        <f t="shared" si="2"/>
        <v>0</v>
      </c>
      <c r="AP24" s="108"/>
      <c r="AQ24" s="108"/>
    </row>
    <row r="25" spans="1:43" x14ac:dyDescent="0.2">
      <c r="A25" s="121"/>
      <c r="B25" s="122" t="s">
        <v>191</v>
      </c>
      <c r="C25" s="105" t="s">
        <v>101</v>
      </c>
      <c r="D25" s="124" t="s">
        <v>318</v>
      </c>
      <c r="E25" s="123" t="s">
        <v>42</v>
      </c>
      <c r="F25" s="125" t="s">
        <v>320</v>
      </c>
      <c r="G25" s="57">
        <v>8316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>
        <v>8316</v>
      </c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M25" s="108">
        <f t="shared" si="0"/>
        <v>8316</v>
      </c>
      <c r="AN25" s="108">
        <f t="shared" si="1"/>
        <v>8316</v>
      </c>
      <c r="AO25" s="108">
        <f t="shared" si="2"/>
        <v>0</v>
      </c>
      <c r="AP25" s="108"/>
      <c r="AQ25" s="108"/>
    </row>
    <row r="26" spans="1:43" x14ac:dyDescent="0.2">
      <c r="A26" s="121"/>
      <c r="B26" s="122"/>
      <c r="C26" s="123" t="s">
        <v>317</v>
      </c>
      <c r="D26" s="124"/>
      <c r="E26" s="123"/>
      <c r="F26" s="125"/>
      <c r="G26" s="57"/>
      <c r="H26" s="57">
        <v>3200</v>
      </c>
      <c r="I26" s="57">
        <v>3200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M26" s="108">
        <f t="shared" si="0"/>
        <v>3200</v>
      </c>
      <c r="AN26" s="108">
        <f t="shared" si="1"/>
        <v>3200</v>
      </c>
      <c r="AO26" s="108">
        <f t="shared" si="2"/>
        <v>0</v>
      </c>
      <c r="AP26" s="108"/>
      <c r="AQ26" s="108"/>
    </row>
    <row r="27" spans="1:43" x14ac:dyDescent="0.2">
      <c r="A27" s="126"/>
      <c r="B27" s="122"/>
      <c r="C27" s="123" t="s">
        <v>319</v>
      </c>
      <c r="D27" s="124"/>
      <c r="E27" s="123"/>
      <c r="F27" s="123"/>
      <c r="G27" s="57"/>
      <c r="H27" s="57">
        <v>1411</v>
      </c>
      <c r="I27" s="57"/>
      <c r="J27" s="57"/>
      <c r="K27" s="57">
        <v>1411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M27" s="108">
        <f t="shared" si="0"/>
        <v>1411</v>
      </c>
      <c r="AN27" s="108">
        <f t="shared" si="1"/>
        <v>1411</v>
      </c>
      <c r="AO27" s="108">
        <f t="shared" si="2"/>
        <v>0</v>
      </c>
      <c r="AP27" s="108"/>
      <c r="AQ27" s="108"/>
    </row>
    <row r="28" spans="1:43" x14ac:dyDescent="0.2">
      <c r="A28" s="126" t="s">
        <v>320</v>
      </c>
      <c r="B28" s="122" t="s">
        <v>192</v>
      </c>
      <c r="C28" s="105" t="s">
        <v>321</v>
      </c>
      <c r="D28" s="124">
        <v>18935</v>
      </c>
      <c r="E28" s="123"/>
      <c r="F28" s="123"/>
      <c r="G28" s="57">
        <v>1288.5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M28" s="108">
        <f t="shared" si="0"/>
        <v>1288.5</v>
      </c>
      <c r="AN28" s="108">
        <f t="shared" si="1"/>
        <v>0</v>
      </c>
      <c r="AO28" s="108">
        <f t="shared" si="2"/>
        <v>1288.5</v>
      </c>
      <c r="AP28" s="108"/>
      <c r="AQ28" s="108"/>
    </row>
    <row r="29" spans="1:43" x14ac:dyDescent="0.2">
      <c r="A29" s="126"/>
      <c r="B29" s="122" t="s">
        <v>322</v>
      </c>
      <c r="C29" s="123" t="s">
        <v>101</v>
      </c>
      <c r="D29" s="124">
        <v>31824</v>
      </c>
      <c r="E29" s="123" t="s">
        <v>42</v>
      </c>
      <c r="F29" s="123" t="s">
        <v>324</v>
      </c>
      <c r="G29" s="57">
        <v>2640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>
        <v>2640</v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M29" s="108">
        <f t="shared" si="0"/>
        <v>2640</v>
      </c>
      <c r="AN29" s="108">
        <f t="shared" si="1"/>
        <v>2640</v>
      </c>
      <c r="AO29" s="108">
        <f t="shared" si="2"/>
        <v>0</v>
      </c>
      <c r="AP29" s="108"/>
      <c r="AQ29" s="108"/>
    </row>
    <row r="30" spans="1:43" x14ac:dyDescent="0.2">
      <c r="A30" s="126"/>
      <c r="B30" s="122"/>
      <c r="C30" s="123" t="s">
        <v>198</v>
      </c>
      <c r="D30" s="124"/>
      <c r="E30" s="123"/>
      <c r="F30" s="123"/>
      <c r="G30" s="57"/>
      <c r="H30" s="57">
        <v>1288.5</v>
      </c>
      <c r="I30" s="57">
        <v>1288.5</v>
      </c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M30" s="108">
        <f t="shared" si="0"/>
        <v>1288.5</v>
      </c>
      <c r="AN30" s="108">
        <f t="shared" si="1"/>
        <v>1288.5</v>
      </c>
      <c r="AO30" s="108">
        <f t="shared" si="2"/>
        <v>0</v>
      </c>
      <c r="AP30" s="108"/>
      <c r="AQ30" s="108"/>
    </row>
    <row r="31" spans="1:43" x14ac:dyDescent="0.2">
      <c r="A31" s="126"/>
      <c r="B31" s="122"/>
      <c r="C31" s="105" t="s">
        <v>323</v>
      </c>
      <c r="D31" s="124"/>
      <c r="E31" s="123"/>
      <c r="F31" s="123"/>
      <c r="G31" s="57"/>
      <c r="H31" s="57">
        <v>8316</v>
      </c>
      <c r="I31" s="57"/>
      <c r="J31" s="57"/>
      <c r="K31" s="57">
        <v>8316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M31" s="108">
        <f t="shared" si="0"/>
        <v>8316</v>
      </c>
      <c r="AN31" s="108">
        <f t="shared" si="1"/>
        <v>8316</v>
      </c>
      <c r="AO31" s="108">
        <f t="shared" si="2"/>
        <v>0</v>
      </c>
      <c r="AP31" s="108"/>
      <c r="AQ31" s="108"/>
    </row>
    <row r="32" spans="1:43" x14ac:dyDescent="0.2">
      <c r="A32" s="121" t="s">
        <v>324</v>
      </c>
      <c r="B32" s="122" t="s">
        <v>217</v>
      </c>
      <c r="C32" s="123" t="s">
        <v>216</v>
      </c>
      <c r="D32" s="124">
        <v>18936</v>
      </c>
      <c r="E32" s="123" t="s">
        <v>100</v>
      </c>
      <c r="F32" s="125" t="s">
        <v>324</v>
      </c>
      <c r="G32" s="57">
        <v>1000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>
        <v>1000</v>
      </c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M32" s="108">
        <f t="shared" si="0"/>
        <v>1000</v>
      </c>
      <c r="AN32" s="108">
        <f t="shared" si="1"/>
        <v>1000</v>
      </c>
      <c r="AO32" s="108">
        <f t="shared" si="2"/>
        <v>0</v>
      </c>
      <c r="AP32" s="108"/>
      <c r="AQ32" s="108"/>
    </row>
    <row r="33" spans="1:43" x14ac:dyDescent="0.2">
      <c r="A33" s="126"/>
      <c r="B33" s="122"/>
      <c r="C33" s="105" t="s">
        <v>317</v>
      </c>
      <c r="D33" s="124"/>
      <c r="E33" s="123"/>
      <c r="F33" s="125"/>
      <c r="G33" s="57"/>
      <c r="H33" s="57">
        <v>1000</v>
      </c>
      <c r="I33" s="57">
        <v>1000</v>
      </c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M33" s="108">
        <f t="shared" si="0"/>
        <v>1000</v>
      </c>
      <c r="AN33" s="108">
        <f t="shared" si="1"/>
        <v>1000</v>
      </c>
      <c r="AO33" s="108">
        <f t="shared" si="2"/>
        <v>0</v>
      </c>
      <c r="AP33" s="108"/>
      <c r="AQ33" s="108"/>
    </row>
    <row r="34" spans="1:43" x14ac:dyDescent="0.2">
      <c r="A34" s="126"/>
      <c r="B34" s="122"/>
      <c r="C34" s="123" t="s">
        <v>325</v>
      </c>
      <c r="D34" s="124"/>
      <c r="E34" s="123"/>
      <c r="F34" s="125"/>
      <c r="G34" s="57"/>
      <c r="H34" s="57">
        <v>2640</v>
      </c>
      <c r="I34" s="57"/>
      <c r="J34" s="57"/>
      <c r="K34" s="57">
        <v>2640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M34" s="108">
        <f t="shared" si="0"/>
        <v>2640</v>
      </c>
      <c r="AN34" s="108">
        <f t="shared" si="1"/>
        <v>2640</v>
      </c>
      <c r="AO34" s="108">
        <f t="shared" si="2"/>
        <v>0</v>
      </c>
      <c r="AP34" s="108"/>
      <c r="AQ34" s="108"/>
    </row>
    <row r="35" spans="1:43" x14ac:dyDescent="0.2">
      <c r="A35" s="126" t="s">
        <v>326</v>
      </c>
      <c r="B35" s="122" t="s">
        <v>191</v>
      </c>
      <c r="C35" s="123" t="s">
        <v>101</v>
      </c>
      <c r="D35" s="124" t="s">
        <v>327</v>
      </c>
      <c r="E35" s="123" t="s">
        <v>42</v>
      </c>
      <c r="F35" s="125" t="s">
        <v>288</v>
      </c>
      <c r="G35" s="57">
        <v>3693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>
        <v>3693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M35" s="108">
        <f t="shared" si="0"/>
        <v>3693</v>
      </c>
      <c r="AN35" s="108">
        <f t="shared" si="1"/>
        <v>3693</v>
      </c>
      <c r="AO35" s="108">
        <f t="shared" si="2"/>
        <v>0</v>
      </c>
      <c r="AP35" s="108"/>
      <c r="AQ35" s="108"/>
    </row>
    <row r="36" spans="1:43" x14ac:dyDescent="0.2">
      <c r="A36" s="126" t="s">
        <v>288</v>
      </c>
      <c r="B36" s="122" t="s">
        <v>328</v>
      </c>
      <c r="C36" s="123" t="s">
        <v>329</v>
      </c>
      <c r="D36" s="124">
        <v>18937</v>
      </c>
      <c r="E36" s="123" t="s">
        <v>99</v>
      </c>
      <c r="F36" s="123" t="s">
        <v>288</v>
      </c>
      <c r="G36" s="57">
        <v>32.5</v>
      </c>
      <c r="H36" s="57"/>
      <c r="I36" s="57"/>
      <c r="J36" s="57"/>
      <c r="K36" s="57"/>
      <c r="L36" s="57"/>
      <c r="M36" s="57"/>
      <c r="N36" s="57"/>
      <c r="O36" s="57"/>
      <c r="P36" s="57">
        <v>7.5</v>
      </c>
      <c r="Q36" s="57"/>
      <c r="R36" s="57"/>
      <c r="S36" s="57"/>
      <c r="T36" s="57">
        <v>15</v>
      </c>
      <c r="U36" s="57"/>
      <c r="V36" s="57"/>
      <c r="W36" s="57">
        <v>10</v>
      </c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M36" s="108">
        <f t="shared" si="0"/>
        <v>32.5</v>
      </c>
      <c r="AN36" s="108">
        <f t="shared" si="1"/>
        <v>32.5</v>
      </c>
      <c r="AO36" s="108">
        <f t="shared" si="2"/>
        <v>0</v>
      </c>
      <c r="AP36" s="108"/>
      <c r="AQ36" s="108"/>
    </row>
    <row r="37" spans="1:43" x14ac:dyDescent="0.2">
      <c r="A37" s="126"/>
      <c r="B37" s="122" t="s">
        <v>191</v>
      </c>
      <c r="C37" s="123" t="s">
        <v>329</v>
      </c>
      <c r="D37" s="124">
        <v>18938</v>
      </c>
      <c r="E37" s="123" t="s">
        <v>99</v>
      </c>
      <c r="F37" s="123" t="s">
        <v>288</v>
      </c>
      <c r="G37" s="57">
        <v>350</v>
      </c>
      <c r="H37" s="57"/>
      <c r="I37" s="57"/>
      <c r="J37" s="57"/>
      <c r="K37" s="57"/>
      <c r="L37" s="57"/>
      <c r="M37" s="57"/>
      <c r="N37" s="57">
        <v>350</v>
      </c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M37" s="108">
        <f t="shared" si="0"/>
        <v>350</v>
      </c>
      <c r="AN37" s="108">
        <f t="shared" si="1"/>
        <v>350</v>
      </c>
      <c r="AO37" s="108">
        <f t="shared" si="2"/>
        <v>0</v>
      </c>
      <c r="AP37" s="108"/>
      <c r="AQ37" s="108"/>
    </row>
    <row r="38" spans="1:43" x14ac:dyDescent="0.2">
      <c r="A38" s="126"/>
      <c r="B38" s="122" t="s">
        <v>191</v>
      </c>
      <c r="C38" s="105" t="s">
        <v>101</v>
      </c>
      <c r="D38" s="124" t="s">
        <v>330</v>
      </c>
      <c r="E38" s="123" t="s">
        <v>42</v>
      </c>
      <c r="F38" s="123" t="s">
        <v>293</v>
      </c>
      <c r="G38" s="57">
        <v>2386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>
        <v>2386</v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M38" s="108">
        <f t="shared" si="0"/>
        <v>2386</v>
      </c>
      <c r="AN38" s="108">
        <f t="shared" si="1"/>
        <v>2386</v>
      </c>
      <c r="AO38" s="108">
        <f t="shared" si="2"/>
        <v>0</v>
      </c>
      <c r="AP38" s="108"/>
      <c r="AQ38" s="108"/>
    </row>
    <row r="39" spans="1:43" x14ac:dyDescent="0.2">
      <c r="A39" s="121"/>
      <c r="B39" s="122"/>
      <c r="C39" s="123" t="s">
        <v>331</v>
      </c>
      <c r="D39" s="124"/>
      <c r="E39" s="123"/>
      <c r="F39" s="125"/>
      <c r="G39" s="57"/>
      <c r="H39" s="57">
        <v>3693</v>
      </c>
      <c r="I39" s="57"/>
      <c r="J39" s="57"/>
      <c r="K39" s="57">
        <v>3693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M39" s="108">
        <f t="shared" si="0"/>
        <v>3693</v>
      </c>
      <c r="AN39" s="108">
        <f t="shared" si="1"/>
        <v>3693</v>
      </c>
      <c r="AO39" s="108">
        <f t="shared" si="2"/>
        <v>0</v>
      </c>
      <c r="AP39" s="108"/>
      <c r="AQ39" s="108"/>
    </row>
    <row r="40" spans="1:43" x14ac:dyDescent="0.2">
      <c r="A40" s="126" t="s">
        <v>293</v>
      </c>
      <c r="B40" s="122" t="s">
        <v>332</v>
      </c>
      <c r="C40" s="123" t="s">
        <v>333</v>
      </c>
      <c r="D40" s="124">
        <v>18939</v>
      </c>
      <c r="E40" s="123" t="s">
        <v>99</v>
      </c>
      <c r="F40" s="125" t="s">
        <v>293</v>
      </c>
      <c r="G40" s="57">
        <v>17.5</v>
      </c>
      <c r="H40" s="57"/>
      <c r="I40" s="57"/>
      <c r="J40" s="57"/>
      <c r="K40" s="57"/>
      <c r="L40" s="57"/>
      <c r="M40" s="57"/>
      <c r="N40" s="57"/>
      <c r="O40" s="57"/>
      <c r="P40" s="57">
        <v>7.5</v>
      </c>
      <c r="Q40" s="57"/>
      <c r="R40" s="57"/>
      <c r="S40" s="57"/>
      <c r="T40" s="57"/>
      <c r="U40" s="57"/>
      <c r="V40" s="57"/>
      <c r="W40" s="57">
        <v>10</v>
      </c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M40" s="108">
        <f t="shared" si="0"/>
        <v>17.5</v>
      </c>
      <c r="AN40" s="108">
        <f t="shared" si="1"/>
        <v>17.5</v>
      </c>
      <c r="AO40" s="108">
        <f t="shared" si="2"/>
        <v>0</v>
      </c>
      <c r="AP40" s="108"/>
      <c r="AQ40" s="108"/>
    </row>
    <row r="41" spans="1:43" x14ac:dyDescent="0.2">
      <c r="A41" s="126"/>
      <c r="B41" s="122" t="s">
        <v>193</v>
      </c>
      <c r="C41" s="105" t="s">
        <v>103</v>
      </c>
      <c r="D41" s="124">
        <v>18940</v>
      </c>
      <c r="E41" s="123" t="s">
        <v>100</v>
      </c>
      <c r="F41" s="125" t="s">
        <v>293</v>
      </c>
      <c r="G41" s="57">
        <v>154573.01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>
        <v>154573.01</v>
      </c>
      <c r="AC41" s="57"/>
      <c r="AD41" s="57"/>
      <c r="AE41" s="57"/>
      <c r="AF41" s="57"/>
      <c r="AG41" s="57"/>
      <c r="AH41" s="57"/>
      <c r="AI41" s="57"/>
      <c r="AJ41" s="57"/>
      <c r="AK41" s="57"/>
      <c r="AM41" s="108">
        <f t="shared" si="0"/>
        <v>154573.01</v>
      </c>
      <c r="AN41" s="108">
        <f t="shared" si="1"/>
        <v>154573.01</v>
      </c>
      <c r="AO41" s="108">
        <f t="shared" si="2"/>
        <v>0</v>
      </c>
      <c r="AP41" s="108"/>
      <c r="AQ41" s="108"/>
    </row>
    <row r="42" spans="1:43" x14ac:dyDescent="0.2">
      <c r="A42" s="126"/>
      <c r="B42" s="122" t="s">
        <v>191</v>
      </c>
      <c r="C42" s="123" t="s">
        <v>333</v>
      </c>
      <c r="D42" s="124">
        <v>18941</v>
      </c>
      <c r="E42" s="123" t="s">
        <v>99</v>
      </c>
      <c r="F42" s="125" t="s">
        <v>293</v>
      </c>
      <c r="G42" s="57">
        <v>100</v>
      </c>
      <c r="H42" s="57"/>
      <c r="I42" s="57"/>
      <c r="J42" s="57"/>
      <c r="K42" s="57"/>
      <c r="L42" s="57"/>
      <c r="M42" s="57"/>
      <c r="N42" s="57">
        <v>100</v>
      </c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M42" s="108">
        <f t="shared" si="0"/>
        <v>100</v>
      </c>
      <c r="AN42" s="108">
        <f t="shared" si="1"/>
        <v>100</v>
      </c>
      <c r="AO42" s="108">
        <f t="shared" si="2"/>
        <v>0</v>
      </c>
      <c r="AP42" s="108"/>
      <c r="AQ42" s="108"/>
    </row>
    <row r="43" spans="1:43" x14ac:dyDescent="0.2">
      <c r="A43" s="126"/>
      <c r="B43" s="122" t="s">
        <v>191</v>
      </c>
      <c r="C43" s="105" t="s">
        <v>101</v>
      </c>
      <c r="D43" s="124" t="s">
        <v>334</v>
      </c>
      <c r="E43" s="123" t="s">
        <v>42</v>
      </c>
      <c r="F43" s="123" t="s">
        <v>293</v>
      </c>
      <c r="G43" s="57">
        <v>6768</v>
      </c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>
        <v>6768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M43" s="108">
        <f t="shared" si="0"/>
        <v>6768</v>
      </c>
      <c r="AN43" s="108">
        <f t="shared" si="1"/>
        <v>6768</v>
      </c>
      <c r="AO43" s="108">
        <f t="shared" si="2"/>
        <v>0</v>
      </c>
      <c r="AP43" s="108"/>
      <c r="AQ43" s="108"/>
    </row>
    <row r="44" spans="1:43" x14ac:dyDescent="0.2">
      <c r="A44" s="126"/>
      <c r="B44" s="122"/>
      <c r="C44" s="123" t="s">
        <v>203</v>
      </c>
      <c r="D44" s="124"/>
      <c r="E44" s="123"/>
      <c r="F44" s="123"/>
      <c r="G44" s="57"/>
      <c r="H44" s="57">
        <v>154573.01</v>
      </c>
      <c r="I44" s="57">
        <v>154573.01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M44" s="108">
        <f t="shared" si="0"/>
        <v>154573.01</v>
      </c>
      <c r="AN44" s="108">
        <f t="shared" si="1"/>
        <v>154573.01</v>
      </c>
      <c r="AO44" s="108">
        <f t="shared" si="2"/>
        <v>0</v>
      </c>
      <c r="AP44" s="108"/>
      <c r="AQ44" s="108"/>
    </row>
    <row r="45" spans="1:43" x14ac:dyDescent="0.2">
      <c r="A45" s="126"/>
      <c r="B45" s="122"/>
      <c r="C45" s="123" t="s">
        <v>331</v>
      </c>
      <c r="D45" s="124"/>
      <c r="E45" s="123"/>
      <c r="F45" s="123"/>
      <c r="G45" s="57"/>
      <c r="H45" s="57">
        <v>2386</v>
      </c>
      <c r="I45" s="57"/>
      <c r="J45" s="57"/>
      <c r="K45" s="57">
        <v>2386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M45" s="108">
        <f t="shared" si="0"/>
        <v>2386</v>
      </c>
      <c r="AN45" s="108">
        <f t="shared" si="1"/>
        <v>2386</v>
      </c>
      <c r="AO45" s="108">
        <f t="shared" si="2"/>
        <v>0</v>
      </c>
      <c r="AP45" s="108"/>
      <c r="AQ45" s="108"/>
    </row>
    <row r="46" spans="1:43" x14ac:dyDescent="0.2">
      <c r="A46" s="126"/>
      <c r="B46" s="122"/>
      <c r="C46" s="123" t="s">
        <v>102</v>
      </c>
      <c r="D46" s="124"/>
      <c r="E46" s="123"/>
      <c r="F46" s="123"/>
      <c r="G46" s="57"/>
      <c r="H46" s="57">
        <v>382.5</v>
      </c>
      <c r="I46" s="57"/>
      <c r="J46" s="57">
        <v>382.5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M46" s="108">
        <f t="shared" si="0"/>
        <v>382.5</v>
      </c>
      <c r="AN46" s="108">
        <f t="shared" si="1"/>
        <v>382.5</v>
      </c>
      <c r="AO46" s="108">
        <f t="shared" si="2"/>
        <v>0</v>
      </c>
      <c r="AP46" s="108"/>
      <c r="AQ46" s="108"/>
    </row>
    <row r="47" spans="1:43" x14ac:dyDescent="0.2">
      <c r="A47" s="126" t="s">
        <v>335</v>
      </c>
      <c r="B47" s="122" t="s">
        <v>191</v>
      </c>
      <c r="C47" s="123" t="s">
        <v>101</v>
      </c>
      <c r="D47" s="124" t="s">
        <v>336</v>
      </c>
      <c r="E47" s="123" t="s">
        <v>42</v>
      </c>
      <c r="F47" s="123" t="s">
        <v>295</v>
      </c>
      <c r="G47" s="57">
        <v>6371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>
        <v>6371</v>
      </c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M47" s="108">
        <f t="shared" si="0"/>
        <v>6371</v>
      </c>
      <c r="AN47" s="108">
        <f t="shared" si="1"/>
        <v>6371</v>
      </c>
      <c r="AO47" s="108">
        <f t="shared" si="2"/>
        <v>0</v>
      </c>
      <c r="AP47" s="108"/>
      <c r="AQ47" s="108"/>
    </row>
    <row r="48" spans="1:43" x14ac:dyDescent="0.2">
      <c r="A48" s="126"/>
      <c r="B48" s="122"/>
      <c r="C48" s="123" t="s">
        <v>102</v>
      </c>
      <c r="D48" s="124"/>
      <c r="E48" s="123"/>
      <c r="F48" s="123"/>
      <c r="G48" s="57"/>
      <c r="H48" s="57">
        <v>117.5</v>
      </c>
      <c r="I48" s="57"/>
      <c r="J48" s="57">
        <v>117.5</v>
      </c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M48" s="108">
        <f t="shared" si="0"/>
        <v>117.5</v>
      </c>
      <c r="AN48" s="108">
        <f t="shared" si="1"/>
        <v>117.5</v>
      </c>
      <c r="AO48" s="108">
        <f t="shared" si="2"/>
        <v>0</v>
      </c>
      <c r="AP48" s="108"/>
      <c r="AQ48" s="108"/>
    </row>
    <row r="49" spans="1:44" x14ac:dyDescent="0.2">
      <c r="A49" s="121"/>
      <c r="B49" s="122"/>
      <c r="C49" s="123" t="s">
        <v>337</v>
      </c>
      <c r="D49" s="124"/>
      <c r="E49" s="123"/>
      <c r="F49" s="125"/>
      <c r="G49" s="57"/>
      <c r="H49" s="57">
        <v>6768</v>
      </c>
      <c r="I49" s="57"/>
      <c r="J49" s="57"/>
      <c r="K49" s="57">
        <v>6768</v>
      </c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M49" s="108">
        <f t="shared" si="0"/>
        <v>6768</v>
      </c>
      <c r="AN49" s="108">
        <f t="shared" si="1"/>
        <v>6768</v>
      </c>
      <c r="AO49" s="108">
        <f t="shared" si="2"/>
        <v>0</v>
      </c>
      <c r="AP49" s="108"/>
      <c r="AQ49" s="108"/>
    </row>
    <row r="50" spans="1:44" x14ac:dyDescent="0.2">
      <c r="A50" s="121" t="s">
        <v>338</v>
      </c>
      <c r="B50" s="122" t="s">
        <v>191</v>
      </c>
      <c r="C50" s="123" t="s">
        <v>101</v>
      </c>
      <c r="D50" s="124" t="s">
        <v>339</v>
      </c>
      <c r="E50" s="123" t="s">
        <v>42</v>
      </c>
      <c r="F50" s="125" t="s">
        <v>295</v>
      </c>
      <c r="G50" s="57">
        <v>2874</v>
      </c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>
        <v>2874</v>
      </c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M50" s="108">
        <f t="shared" si="0"/>
        <v>2874</v>
      </c>
      <c r="AN50" s="108">
        <f t="shared" si="1"/>
        <v>2874</v>
      </c>
      <c r="AO50" s="108">
        <f t="shared" si="2"/>
        <v>0</v>
      </c>
      <c r="AP50" s="108"/>
      <c r="AQ50" s="108"/>
    </row>
    <row r="51" spans="1:44" x14ac:dyDescent="0.2">
      <c r="A51" s="126" t="s">
        <v>340</v>
      </c>
      <c r="B51" s="122" t="s">
        <v>191</v>
      </c>
      <c r="C51" s="105" t="s">
        <v>341</v>
      </c>
      <c r="D51" s="124">
        <v>18942</v>
      </c>
      <c r="E51" s="123" t="s">
        <v>342</v>
      </c>
      <c r="F51" s="125" t="s">
        <v>295</v>
      </c>
      <c r="G51" s="57">
        <v>2700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>
        <v>2700</v>
      </c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M51" s="108">
        <f t="shared" si="0"/>
        <v>2700</v>
      </c>
      <c r="AN51" s="108">
        <f t="shared" si="1"/>
        <v>2700</v>
      </c>
      <c r="AO51" s="108">
        <f t="shared" si="2"/>
        <v>0</v>
      </c>
      <c r="AP51" s="108"/>
      <c r="AQ51" s="108"/>
    </row>
    <row r="52" spans="1:44" x14ac:dyDescent="0.2">
      <c r="A52" s="126"/>
      <c r="B52" s="122" t="s">
        <v>191</v>
      </c>
      <c r="C52" s="123" t="s">
        <v>101</v>
      </c>
      <c r="D52" s="124" t="s">
        <v>343</v>
      </c>
      <c r="E52" s="123" t="s">
        <v>42</v>
      </c>
      <c r="F52" s="125" t="s">
        <v>295</v>
      </c>
      <c r="G52" s="57">
        <v>4697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>
        <v>4697</v>
      </c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M52" s="108">
        <f t="shared" si="0"/>
        <v>4697</v>
      </c>
      <c r="AN52" s="108">
        <f t="shared" si="1"/>
        <v>4697</v>
      </c>
      <c r="AO52" s="108">
        <f t="shared" si="2"/>
        <v>0</v>
      </c>
      <c r="AP52" s="108"/>
      <c r="AQ52" s="108"/>
    </row>
    <row r="53" spans="1:44" x14ac:dyDescent="0.2">
      <c r="A53" s="126" t="s">
        <v>295</v>
      </c>
      <c r="B53" s="122" t="s">
        <v>344</v>
      </c>
      <c r="C53" s="123" t="s">
        <v>345</v>
      </c>
      <c r="D53" s="124">
        <v>18943</v>
      </c>
      <c r="E53" s="123" t="s">
        <v>99</v>
      </c>
      <c r="F53" s="123" t="s">
        <v>351</v>
      </c>
      <c r="G53" s="57">
        <v>17.5</v>
      </c>
      <c r="H53" s="57"/>
      <c r="I53" s="57"/>
      <c r="J53" s="57"/>
      <c r="K53" s="57"/>
      <c r="L53" s="57"/>
      <c r="M53" s="57"/>
      <c r="N53" s="57"/>
      <c r="O53" s="57"/>
      <c r="P53" s="57">
        <v>7.5</v>
      </c>
      <c r="Q53" s="57"/>
      <c r="R53" s="57"/>
      <c r="S53" s="57"/>
      <c r="T53" s="57"/>
      <c r="U53" s="57"/>
      <c r="V53" s="57"/>
      <c r="W53" s="57">
        <v>10</v>
      </c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M53" s="108">
        <f t="shared" si="0"/>
        <v>17.5</v>
      </c>
      <c r="AN53" s="108">
        <f t="shared" si="1"/>
        <v>17.5</v>
      </c>
      <c r="AO53" s="108">
        <f t="shared" si="2"/>
        <v>0</v>
      </c>
      <c r="AP53" s="108"/>
      <c r="AQ53" s="108"/>
    </row>
    <row r="54" spans="1:44" x14ac:dyDescent="0.2">
      <c r="A54" s="126"/>
      <c r="B54" s="122" t="s">
        <v>191</v>
      </c>
      <c r="C54" s="123" t="s">
        <v>101</v>
      </c>
      <c r="D54" s="124" t="s">
        <v>346</v>
      </c>
      <c r="E54" s="123" t="s">
        <v>42</v>
      </c>
      <c r="F54" s="123" t="s">
        <v>351</v>
      </c>
      <c r="G54" s="57">
        <v>6471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>
        <v>6471</v>
      </c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M54" s="108">
        <f t="shared" si="0"/>
        <v>6471</v>
      </c>
      <c r="AN54" s="108">
        <f t="shared" si="1"/>
        <v>6471</v>
      </c>
      <c r="AO54" s="108">
        <f t="shared" si="2"/>
        <v>0</v>
      </c>
      <c r="AP54" s="108"/>
      <c r="AQ54" s="108"/>
    </row>
    <row r="55" spans="1:44" x14ac:dyDescent="0.2">
      <c r="A55" s="126"/>
      <c r="B55" s="122"/>
      <c r="C55" s="105" t="s">
        <v>347</v>
      </c>
      <c r="D55" s="124"/>
      <c r="E55" s="123"/>
      <c r="F55" s="123"/>
      <c r="G55" s="57"/>
      <c r="H55" s="57">
        <v>13942</v>
      </c>
      <c r="I55" s="57"/>
      <c r="J55" s="57"/>
      <c r="K55" s="57">
        <v>13942</v>
      </c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M55" s="108">
        <f t="shared" si="0"/>
        <v>13942</v>
      </c>
      <c r="AN55" s="108">
        <f t="shared" si="1"/>
        <v>13942</v>
      </c>
      <c r="AO55" s="108">
        <f t="shared" si="2"/>
        <v>0</v>
      </c>
      <c r="AP55" s="108"/>
      <c r="AQ55" s="108"/>
    </row>
    <row r="56" spans="1:44" x14ac:dyDescent="0.2">
      <c r="A56" s="121"/>
      <c r="B56" s="122"/>
      <c r="C56" s="105" t="s">
        <v>348</v>
      </c>
      <c r="D56" s="124"/>
      <c r="E56" s="123"/>
      <c r="F56" s="125"/>
      <c r="G56" s="57"/>
      <c r="H56" s="57">
        <v>2700</v>
      </c>
      <c r="I56" s="57"/>
      <c r="J56" s="57">
        <v>2700</v>
      </c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M56" s="108">
        <f t="shared" si="0"/>
        <v>2700</v>
      </c>
      <c r="AN56" s="108">
        <f t="shared" si="1"/>
        <v>2700</v>
      </c>
      <c r="AO56" s="108">
        <f t="shared" si="2"/>
        <v>0</v>
      </c>
      <c r="AP56" s="108"/>
      <c r="AQ56" s="108"/>
    </row>
    <row r="57" spans="1:44" x14ac:dyDescent="0.2">
      <c r="A57" s="126" t="s">
        <v>349</v>
      </c>
      <c r="B57" s="122" t="s">
        <v>191</v>
      </c>
      <c r="C57" s="123" t="s">
        <v>101</v>
      </c>
      <c r="D57" s="124" t="s">
        <v>350</v>
      </c>
      <c r="E57" s="123" t="s">
        <v>42</v>
      </c>
      <c r="F57" s="123" t="s">
        <v>351</v>
      </c>
      <c r="G57" s="57">
        <v>15257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>
        <v>15257</v>
      </c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M57" s="108">
        <f t="shared" si="0"/>
        <v>15257</v>
      </c>
      <c r="AN57" s="108">
        <f t="shared" si="1"/>
        <v>15257</v>
      </c>
      <c r="AO57" s="108">
        <f t="shared" si="2"/>
        <v>0</v>
      </c>
      <c r="AP57" s="108"/>
      <c r="AQ57" s="108"/>
    </row>
    <row r="58" spans="1:44" x14ac:dyDescent="0.2">
      <c r="A58" s="126" t="s">
        <v>351</v>
      </c>
      <c r="B58" s="122" t="s">
        <v>352</v>
      </c>
      <c r="C58" s="123" t="s">
        <v>353</v>
      </c>
      <c r="D58" s="124">
        <v>18944</v>
      </c>
      <c r="E58" s="123" t="s">
        <v>99</v>
      </c>
      <c r="F58" s="123" t="s">
        <v>351</v>
      </c>
      <c r="G58" s="57">
        <v>17.5</v>
      </c>
      <c r="H58" s="57"/>
      <c r="I58" s="57"/>
      <c r="J58" s="57"/>
      <c r="K58" s="57"/>
      <c r="L58" s="57"/>
      <c r="M58" s="57"/>
      <c r="N58" s="57"/>
      <c r="O58" s="57"/>
      <c r="P58" s="57">
        <v>7.5</v>
      </c>
      <c r="Q58" s="57"/>
      <c r="R58" s="57"/>
      <c r="S58" s="57"/>
      <c r="T58" s="57"/>
      <c r="U58" s="57"/>
      <c r="V58" s="57"/>
      <c r="W58" s="57">
        <v>10</v>
      </c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M58" s="108">
        <f t="shared" si="0"/>
        <v>17.5</v>
      </c>
      <c r="AN58" s="108">
        <f t="shared" si="1"/>
        <v>17.5</v>
      </c>
      <c r="AO58" s="108">
        <f t="shared" si="2"/>
        <v>0</v>
      </c>
      <c r="AP58" s="108"/>
      <c r="AQ58" s="108"/>
    </row>
    <row r="59" spans="1:44" x14ac:dyDescent="0.2">
      <c r="A59" s="121"/>
      <c r="B59" s="122" t="s">
        <v>354</v>
      </c>
      <c r="C59" s="123" t="s">
        <v>353</v>
      </c>
      <c r="D59" s="124">
        <v>18945</v>
      </c>
      <c r="E59" s="123" t="s">
        <v>99</v>
      </c>
      <c r="F59" s="125" t="s">
        <v>351</v>
      </c>
      <c r="G59" s="57">
        <v>17.5</v>
      </c>
      <c r="H59" s="57"/>
      <c r="I59" s="57"/>
      <c r="J59" s="57"/>
      <c r="K59" s="57"/>
      <c r="L59" s="57"/>
      <c r="M59" s="57"/>
      <c r="O59" s="57"/>
      <c r="P59" s="57">
        <v>7.5</v>
      </c>
      <c r="Q59" s="57"/>
      <c r="R59" s="57"/>
      <c r="S59" s="57"/>
      <c r="T59" s="57"/>
      <c r="U59" s="57"/>
      <c r="V59" s="57"/>
      <c r="W59" s="7">
        <v>10</v>
      </c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M59" s="108">
        <f t="shared" si="0"/>
        <v>17.5</v>
      </c>
      <c r="AN59" s="108">
        <f t="shared" si="1"/>
        <v>17.5</v>
      </c>
      <c r="AO59" s="108">
        <f t="shared" si="2"/>
        <v>0</v>
      </c>
      <c r="AP59" s="108"/>
      <c r="AQ59" s="108"/>
    </row>
    <row r="60" spans="1:44" x14ac:dyDescent="0.2">
      <c r="A60" s="127"/>
      <c r="B60" s="128" t="s">
        <v>192</v>
      </c>
      <c r="C60" s="105" t="s">
        <v>355</v>
      </c>
      <c r="D60" s="124">
        <v>18946</v>
      </c>
      <c r="F60" s="107" t="s">
        <v>351</v>
      </c>
      <c r="G60" s="7">
        <v>2654.5</v>
      </c>
      <c r="AM60" s="108">
        <f>+SUM(G60,I60:L60)</f>
        <v>2654.5</v>
      </c>
      <c r="AN60" s="108" t="e">
        <f>+SUM(#REF!,N60:W60,X60:AI60,AK60)</f>
        <v>#REF!</v>
      </c>
      <c r="AO60" s="108" t="e">
        <f>+AM60-AN60</f>
        <v>#REF!</v>
      </c>
      <c r="AP60" s="108">
        <f>L60+K60+J60+I60+G60</f>
        <v>2654.5</v>
      </c>
      <c r="AQ60" s="108" t="e">
        <f>AI60+AH60+AG60+AF60+AD60+AC60+AB60+AA60+Z60+Y60+X60+W59+V60+T60+R60+Q60+P59+#REF!+N59+#REF!</f>
        <v>#REF!</v>
      </c>
      <c r="AR60" s="108" t="e">
        <f>AP60-AQ60</f>
        <v>#REF!</v>
      </c>
    </row>
    <row r="61" spans="1:44" x14ac:dyDescent="0.2">
      <c r="A61" s="127"/>
      <c r="B61" s="128" t="s">
        <v>356</v>
      </c>
      <c r="C61" s="123" t="s">
        <v>353</v>
      </c>
      <c r="D61" s="124">
        <v>18947</v>
      </c>
      <c r="E61" s="105" t="s">
        <v>99</v>
      </c>
      <c r="F61" s="107" t="s">
        <v>360</v>
      </c>
      <c r="G61" s="7">
        <v>32.5</v>
      </c>
      <c r="P61" s="7">
        <v>7.5</v>
      </c>
      <c r="T61" s="7">
        <v>15</v>
      </c>
      <c r="W61" s="7">
        <v>10</v>
      </c>
      <c r="AM61" s="108">
        <f t="shared" ref="AM61:AM83" si="3">+SUM(G61,I61:L61)</f>
        <v>32.5</v>
      </c>
      <c r="AN61" s="108">
        <f>+SUM(H60,N61:W61,X61:AI61,AK61)</f>
        <v>32.5</v>
      </c>
      <c r="AO61" s="108">
        <f t="shared" ref="AO61:AO83" si="4">+AM61-AN61</f>
        <v>0</v>
      </c>
      <c r="AP61" s="108">
        <f t="shared" ref="AP61:AP83" si="5">L61+K61+J61+I61+G61</f>
        <v>32.5</v>
      </c>
      <c r="AQ61" s="108">
        <f>AI61+AH61+AG61+AF61+AD61+AC61+AB61+AA61+Z61+Y61+X61+W61+V61+T61+R61+Q61+P61+O61+N61+H60</f>
        <v>32.5</v>
      </c>
      <c r="AR61" s="108">
        <f t="shared" ref="AR61:AR83" si="6">AP61-AQ61</f>
        <v>0</v>
      </c>
    </row>
    <row r="62" spans="1:44" x14ac:dyDescent="0.2">
      <c r="A62" s="127"/>
      <c r="B62" s="128" t="s">
        <v>191</v>
      </c>
      <c r="C62" s="123" t="s">
        <v>353</v>
      </c>
      <c r="D62" s="124">
        <v>18948</v>
      </c>
      <c r="E62" s="105" t="s">
        <v>99</v>
      </c>
      <c r="F62" s="107" t="s">
        <v>351</v>
      </c>
      <c r="G62" s="7">
        <v>390</v>
      </c>
      <c r="N62" s="7">
        <v>390</v>
      </c>
      <c r="AM62" s="108">
        <f t="shared" si="3"/>
        <v>390</v>
      </c>
      <c r="AN62" s="108">
        <f t="shared" ref="AN62:AN83" si="7">+SUM(H62,N62:W62,X62:AI62,AK62)</f>
        <v>390</v>
      </c>
      <c r="AO62" s="108">
        <f t="shared" si="4"/>
        <v>0</v>
      </c>
      <c r="AP62" s="108">
        <f t="shared" si="5"/>
        <v>390</v>
      </c>
      <c r="AQ62" s="108">
        <f t="shared" ref="AQ62:AQ82" si="8">AI62+AH62+AG62+AF62+AD62+AC62+AB62+AA62+Z62+Y62+X62+W62+V62+T62+R62+Q62+P62+O62+N62+H62</f>
        <v>390</v>
      </c>
      <c r="AR62" s="108">
        <f t="shared" si="6"/>
        <v>0</v>
      </c>
    </row>
    <row r="63" spans="1:44" x14ac:dyDescent="0.2">
      <c r="A63" s="127"/>
      <c r="B63" s="128" t="s">
        <v>357</v>
      </c>
      <c r="C63" s="123" t="s">
        <v>353</v>
      </c>
      <c r="D63" s="124">
        <v>18949</v>
      </c>
      <c r="E63" s="105" t="s">
        <v>99</v>
      </c>
      <c r="F63" s="107" t="s">
        <v>376</v>
      </c>
      <c r="G63" s="7">
        <v>32.5</v>
      </c>
      <c r="P63" s="7">
        <v>7.5</v>
      </c>
      <c r="T63" s="7">
        <v>15</v>
      </c>
      <c r="W63" s="7">
        <v>10</v>
      </c>
      <c r="AM63" s="108">
        <f t="shared" si="3"/>
        <v>32.5</v>
      </c>
      <c r="AN63" s="108">
        <f t="shared" si="7"/>
        <v>32.5</v>
      </c>
      <c r="AO63" s="108">
        <f t="shared" si="4"/>
        <v>0</v>
      </c>
      <c r="AP63" s="108" t="e">
        <f>L63+J63+#REF!+I63+G63</f>
        <v>#REF!</v>
      </c>
      <c r="AQ63" s="108">
        <f t="shared" si="8"/>
        <v>32.5</v>
      </c>
      <c r="AR63" s="108" t="e">
        <f t="shared" si="6"/>
        <v>#REF!</v>
      </c>
    </row>
    <row r="64" spans="1:44" x14ac:dyDescent="0.2">
      <c r="A64" s="127"/>
      <c r="B64" s="128" t="s">
        <v>191</v>
      </c>
      <c r="C64" s="123" t="s">
        <v>353</v>
      </c>
      <c r="D64" s="124">
        <v>18950</v>
      </c>
      <c r="E64" s="105" t="s">
        <v>99</v>
      </c>
      <c r="F64" s="107" t="s">
        <v>376</v>
      </c>
      <c r="G64" s="7">
        <v>250</v>
      </c>
      <c r="N64" s="7">
        <v>250</v>
      </c>
      <c r="AM64" s="108">
        <f t="shared" si="3"/>
        <v>250</v>
      </c>
      <c r="AN64" s="108">
        <f t="shared" si="7"/>
        <v>250</v>
      </c>
      <c r="AO64" s="108">
        <f t="shared" si="4"/>
        <v>0</v>
      </c>
      <c r="AP64" s="108">
        <f t="shared" si="5"/>
        <v>250</v>
      </c>
      <c r="AQ64" s="108">
        <f t="shared" si="8"/>
        <v>250</v>
      </c>
      <c r="AR64" s="108">
        <f t="shared" si="6"/>
        <v>0</v>
      </c>
    </row>
    <row r="65" spans="1:44" x14ac:dyDescent="0.2">
      <c r="A65" s="127"/>
      <c r="B65" s="128" t="s">
        <v>197</v>
      </c>
      <c r="C65" s="105" t="s">
        <v>103</v>
      </c>
      <c r="D65" s="124">
        <v>18951</v>
      </c>
      <c r="E65" s="105" t="s">
        <v>100</v>
      </c>
      <c r="F65" s="107" t="s">
        <v>377</v>
      </c>
      <c r="G65" s="7">
        <v>93934.32</v>
      </c>
      <c r="AB65" s="7">
        <v>93934.32</v>
      </c>
      <c r="AM65" s="108">
        <f t="shared" si="3"/>
        <v>93934.32</v>
      </c>
      <c r="AN65" s="108">
        <f t="shared" si="7"/>
        <v>93934.32</v>
      </c>
      <c r="AO65" s="108">
        <f t="shared" si="4"/>
        <v>0</v>
      </c>
      <c r="AP65" s="108">
        <f t="shared" si="5"/>
        <v>93934.32</v>
      </c>
      <c r="AQ65" s="108">
        <f t="shared" si="8"/>
        <v>93934.32</v>
      </c>
      <c r="AR65" s="108">
        <f t="shared" si="6"/>
        <v>0</v>
      </c>
    </row>
    <row r="66" spans="1:44" x14ac:dyDescent="0.2">
      <c r="A66" s="127"/>
      <c r="B66" s="128" t="s">
        <v>191</v>
      </c>
      <c r="C66" s="105" t="s">
        <v>101</v>
      </c>
      <c r="D66" s="124" t="s">
        <v>358</v>
      </c>
      <c r="E66" s="105" t="s">
        <v>42</v>
      </c>
      <c r="F66" s="107" t="s">
        <v>360</v>
      </c>
      <c r="G66" s="7">
        <v>7539</v>
      </c>
      <c r="Y66" s="7">
        <v>7539</v>
      </c>
      <c r="AM66" s="108">
        <f t="shared" si="3"/>
        <v>7539</v>
      </c>
      <c r="AN66" s="108">
        <f t="shared" si="7"/>
        <v>7539</v>
      </c>
      <c r="AO66" s="108">
        <f t="shared" si="4"/>
        <v>0</v>
      </c>
      <c r="AP66" s="108">
        <f t="shared" si="5"/>
        <v>7539</v>
      </c>
      <c r="AQ66" s="108">
        <f t="shared" si="8"/>
        <v>7539</v>
      </c>
      <c r="AR66" s="108">
        <f t="shared" si="6"/>
        <v>0</v>
      </c>
    </row>
    <row r="67" spans="1:44" x14ac:dyDescent="0.2">
      <c r="A67" s="127"/>
      <c r="B67" s="128"/>
      <c r="C67" s="105" t="s">
        <v>102</v>
      </c>
      <c r="D67" s="124"/>
      <c r="F67" s="107"/>
      <c r="H67" s="7">
        <v>457.5</v>
      </c>
      <c r="J67" s="7">
        <v>457.5</v>
      </c>
      <c r="AM67" s="108"/>
      <c r="AN67" s="108"/>
      <c r="AO67" s="108"/>
      <c r="AP67" s="108"/>
      <c r="AQ67" s="108"/>
      <c r="AR67" s="108"/>
    </row>
    <row r="68" spans="1:44" x14ac:dyDescent="0.2">
      <c r="A68" s="127"/>
      <c r="B68" s="128"/>
      <c r="C68" s="105" t="s">
        <v>198</v>
      </c>
      <c r="D68" s="124"/>
      <c r="F68" s="107"/>
      <c r="H68" s="7">
        <v>2654.5</v>
      </c>
      <c r="I68" s="7">
        <v>2654.5</v>
      </c>
      <c r="AM68" s="108">
        <f t="shared" si="3"/>
        <v>2654.5</v>
      </c>
      <c r="AN68" s="108">
        <f t="shared" si="7"/>
        <v>2654.5</v>
      </c>
      <c r="AO68" s="108">
        <f t="shared" si="4"/>
        <v>0</v>
      </c>
      <c r="AP68" s="108">
        <f t="shared" si="5"/>
        <v>2654.5</v>
      </c>
      <c r="AQ68" s="108">
        <f t="shared" si="8"/>
        <v>2654.5</v>
      </c>
      <c r="AR68" s="108">
        <f t="shared" si="6"/>
        <v>0</v>
      </c>
    </row>
    <row r="69" spans="1:44" x14ac:dyDescent="0.2">
      <c r="A69" s="127"/>
      <c r="B69" s="128"/>
      <c r="C69" s="105" t="s">
        <v>359</v>
      </c>
      <c r="D69" s="124"/>
      <c r="F69" s="107"/>
      <c r="H69" s="7">
        <v>21728</v>
      </c>
      <c r="K69" s="7">
        <v>21728</v>
      </c>
      <c r="AM69" s="108">
        <f t="shared" si="3"/>
        <v>21728</v>
      </c>
      <c r="AN69" s="108">
        <f t="shared" si="7"/>
        <v>21728</v>
      </c>
      <c r="AO69" s="108">
        <f t="shared" si="4"/>
        <v>0</v>
      </c>
      <c r="AP69" s="108">
        <f t="shared" si="5"/>
        <v>21728</v>
      </c>
      <c r="AQ69" s="108">
        <f t="shared" si="8"/>
        <v>21728</v>
      </c>
      <c r="AR69" s="108">
        <f t="shared" si="6"/>
        <v>0</v>
      </c>
    </row>
    <row r="70" spans="1:44" x14ac:dyDescent="0.2">
      <c r="A70" s="127" t="s">
        <v>360</v>
      </c>
      <c r="B70" s="128" t="s">
        <v>191</v>
      </c>
      <c r="C70" s="105" t="s">
        <v>361</v>
      </c>
      <c r="D70" s="124">
        <v>18952</v>
      </c>
      <c r="E70" s="105" t="s">
        <v>99</v>
      </c>
      <c r="F70" s="107" t="s">
        <v>377</v>
      </c>
      <c r="G70" s="7">
        <v>110</v>
      </c>
      <c r="N70" s="7">
        <v>110</v>
      </c>
      <c r="AM70" s="108">
        <f t="shared" si="3"/>
        <v>110</v>
      </c>
      <c r="AN70" s="108">
        <f t="shared" si="7"/>
        <v>110</v>
      </c>
      <c r="AO70" s="108">
        <f t="shared" si="4"/>
        <v>0</v>
      </c>
      <c r="AP70" s="108">
        <f t="shared" si="5"/>
        <v>110</v>
      </c>
      <c r="AQ70" s="108">
        <f t="shared" si="8"/>
        <v>110</v>
      </c>
      <c r="AR70" s="108">
        <f t="shared" si="6"/>
        <v>0</v>
      </c>
    </row>
    <row r="71" spans="1:44" x14ac:dyDescent="0.2">
      <c r="A71" s="127"/>
      <c r="B71" s="128"/>
      <c r="C71" s="123" t="s">
        <v>101</v>
      </c>
      <c r="D71" s="124" t="s">
        <v>362</v>
      </c>
      <c r="E71" s="105" t="s">
        <v>42</v>
      </c>
      <c r="F71" s="107"/>
      <c r="G71" s="7">
        <v>3777</v>
      </c>
      <c r="Y71" s="7">
        <v>3777</v>
      </c>
      <c r="AM71" s="108">
        <f t="shared" si="3"/>
        <v>3777</v>
      </c>
      <c r="AN71" s="108">
        <f t="shared" si="7"/>
        <v>3777</v>
      </c>
      <c r="AO71" s="108">
        <f t="shared" si="4"/>
        <v>0</v>
      </c>
      <c r="AP71" s="108">
        <f t="shared" si="5"/>
        <v>3777</v>
      </c>
      <c r="AQ71" s="108">
        <f t="shared" si="8"/>
        <v>3777</v>
      </c>
      <c r="AR71" s="108">
        <f t="shared" si="6"/>
        <v>0</v>
      </c>
    </row>
    <row r="72" spans="1:44" x14ac:dyDescent="0.2">
      <c r="A72" s="127"/>
      <c r="B72" s="128"/>
      <c r="C72" s="105" t="s">
        <v>363</v>
      </c>
      <c r="D72" s="124"/>
      <c r="F72" s="107"/>
      <c r="H72" s="7">
        <v>7539</v>
      </c>
      <c r="K72" s="7">
        <v>7539</v>
      </c>
      <c r="AM72" s="108">
        <f t="shared" si="3"/>
        <v>7539</v>
      </c>
      <c r="AN72" s="108">
        <f t="shared" si="7"/>
        <v>7539</v>
      </c>
      <c r="AO72" s="108">
        <f t="shared" si="4"/>
        <v>0</v>
      </c>
      <c r="AP72" s="108">
        <f t="shared" si="5"/>
        <v>7539</v>
      </c>
      <c r="AQ72" s="108">
        <f t="shared" si="8"/>
        <v>7539</v>
      </c>
      <c r="AR72" s="108">
        <f t="shared" si="6"/>
        <v>0</v>
      </c>
    </row>
    <row r="73" spans="1:44" x14ac:dyDescent="0.2">
      <c r="A73" s="127"/>
      <c r="B73" s="128"/>
      <c r="C73" s="123" t="s">
        <v>102</v>
      </c>
      <c r="D73" s="124"/>
      <c r="F73" s="107"/>
      <c r="H73" s="7">
        <v>315</v>
      </c>
      <c r="J73" s="7">
        <v>315</v>
      </c>
      <c r="AM73" s="108">
        <f t="shared" si="3"/>
        <v>315</v>
      </c>
      <c r="AN73" s="108">
        <f t="shared" si="7"/>
        <v>315</v>
      </c>
      <c r="AO73" s="108">
        <f t="shared" si="4"/>
        <v>0</v>
      </c>
      <c r="AP73" s="108">
        <f t="shared" si="5"/>
        <v>315</v>
      </c>
      <c r="AQ73" s="108">
        <f t="shared" si="8"/>
        <v>315</v>
      </c>
      <c r="AR73" s="108">
        <f t="shared" si="6"/>
        <v>0</v>
      </c>
    </row>
    <row r="74" spans="1:44" x14ac:dyDescent="0.2">
      <c r="A74" s="127"/>
      <c r="B74" s="128"/>
      <c r="C74" s="123" t="s">
        <v>394</v>
      </c>
      <c r="D74" s="124"/>
      <c r="F74" s="107"/>
      <c r="H74" s="7">
        <v>3777</v>
      </c>
      <c r="AM74" s="108"/>
      <c r="AN74" s="108">
        <f t="shared" si="7"/>
        <v>3777</v>
      </c>
      <c r="AO74" s="108"/>
      <c r="AP74" s="108"/>
      <c r="AQ74" s="108">
        <f t="shared" si="8"/>
        <v>3777</v>
      </c>
      <c r="AR74" s="108"/>
    </row>
    <row r="75" spans="1:44" x14ac:dyDescent="0.2">
      <c r="A75" s="127" t="s">
        <v>377</v>
      </c>
      <c r="B75" s="128" t="s">
        <v>191</v>
      </c>
      <c r="C75" s="123" t="s">
        <v>101</v>
      </c>
      <c r="D75" s="124" t="s">
        <v>378</v>
      </c>
      <c r="E75" s="105" t="s">
        <v>42</v>
      </c>
      <c r="F75" s="107"/>
      <c r="G75" s="7">
        <v>14606</v>
      </c>
      <c r="Y75" s="7">
        <v>14606</v>
      </c>
      <c r="AM75" s="108"/>
      <c r="AN75" s="108"/>
      <c r="AO75" s="108"/>
      <c r="AP75" s="108"/>
      <c r="AQ75" s="108"/>
      <c r="AR75" s="108"/>
    </row>
    <row r="76" spans="1:44" x14ac:dyDescent="0.2">
      <c r="A76" s="127"/>
      <c r="B76" s="128"/>
      <c r="C76" s="123" t="s">
        <v>102</v>
      </c>
      <c r="D76" s="124"/>
      <c r="F76" s="107"/>
      <c r="H76" s="7">
        <v>110</v>
      </c>
      <c r="J76" s="7">
        <v>110</v>
      </c>
      <c r="AM76" s="108"/>
      <c r="AN76" s="108"/>
      <c r="AO76" s="108"/>
      <c r="AP76" s="108"/>
      <c r="AQ76" s="108"/>
      <c r="AR76" s="108"/>
    </row>
    <row r="77" spans="1:44" x14ac:dyDescent="0.2">
      <c r="A77" s="127"/>
      <c r="B77" s="128"/>
      <c r="C77" s="123" t="s">
        <v>203</v>
      </c>
      <c r="D77" s="124"/>
      <c r="F77" s="107"/>
      <c r="H77" s="7">
        <v>93934.32</v>
      </c>
      <c r="J77" s="7">
        <v>93934.32</v>
      </c>
      <c r="AM77" s="108"/>
      <c r="AN77" s="108"/>
      <c r="AO77" s="108"/>
      <c r="AP77" s="108"/>
      <c r="AQ77" s="108"/>
      <c r="AR77" s="108"/>
    </row>
    <row r="78" spans="1:44" x14ac:dyDescent="0.2">
      <c r="A78" s="127" t="s">
        <v>379</v>
      </c>
      <c r="B78" s="128" t="s">
        <v>191</v>
      </c>
      <c r="C78" s="123" t="s">
        <v>380</v>
      </c>
      <c r="D78" s="124" t="s">
        <v>381</v>
      </c>
      <c r="E78" s="105" t="s">
        <v>99</v>
      </c>
      <c r="F78" s="107"/>
      <c r="G78" s="7">
        <v>130</v>
      </c>
      <c r="P78" s="7">
        <v>30</v>
      </c>
      <c r="T78" s="7">
        <v>60</v>
      </c>
      <c r="W78" s="7">
        <v>40</v>
      </c>
      <c r="AM78" s="108"/>
      <c r="AN78" s="108"/>
      <c r="AO78" s="108"/>
      <c r="AP78" s="108"/>
      <c r="AQ78" s="108"/>
      <c r="AR78" s="108"/>
    </row>
    <row r="79" spans="1:44" x14ac:dyDescent="0.2">
      <c r="A79" s="127"/>
      <c r="B79" s="128" t="s">
        <v>191</v>
      </c>
      <c r="C79" s="123" t="s">
        <v>380</v>
      </c>
      <c r="D79" s="124">
        <v>18957</v>
      </c>
      <c r="E79" s="105" t="s">
        <v>99</v>
      </c>
      <c r="F79" s="107"/>
      <c r="G79" s="7">
        <v>810</v>
      </c>
      <c r="N79" s="7">
        <v>760</v>
      </c>
      <c r="R79" s="7">
        <v>50</v>
      </c>
      <c r="AM79" s="108"/>
      <c r="AN79" s="108"/>
      <c r="AO79" s="108"/>
      <c r="AP79" s="108"/>
      <c r="AQ79" s="108"/>
      <c r="AR79" s="108"/>
    </row>
    <row r="80" spans="1:44" x14ac:dyDescent="0.2">
      <c r="A80" s="127"/>
      <c r="B80" s="128" t="s">
        <v>191</v>
      </c>
      <c r="C80" s="123" t="s">
        <v>382</v>
      </c>
      <c r="D80" s="124" t="s">
        <v>383</v>
      </c>
      <c r="E80" s="105" t="s">
        <v>384</v>
      </c>
      <c r="F80" s="107"/>
      <c r="G80" s="7">
        <v>54000</v>
      </c>
      <c r="AE80" s="7">
        <v>54000</v>
      </c>
      <c r="AM80" s="108"/>
      <c r="AN80" s="108"/>
      <c r="AO80" s="108"/>
      <c r="AP80" s="108"/>
      <c r="AQ80" s="108"/>
      <c r="AR80" s="108"/>
    </row>
    <row r="81" spans="1:45" x14ac:dyDescent="0.2">
      <c r="A81" s="127"/>
      <c r="B81" s="128" t="s">
        <v>385</v>
      </c>
      <c r="C81" s="123" t="s">
        <v>103</v>
      </c>
      <c r="D81" s="124">
        <v>18964</v>
      </c>
      <c r="E81" s="105" t="s">
        <v>100</v>
      </c>
      <c r="F81" s="107"/>
      <c r="G81" s="7">
        <v>93934.32</v>
      </c>
      <c r="AB81" s="7">
        <v>93934.32</v>
      </c>
      <c r="AM81" s="108"/>
      <c r="AN81" s="108"/>
      <c r="AO81" s="108"/>
      <c r="AP81" s="108"/>
      <c r="AQ81" s="108"/>
      <c r="AR81" s="108"/>
    </row>
    <row r="82" spans="1:45" x14ac:dyDescent="0.2">
      <c r="A82" s="127"/>
      <c r="B82" s="128" t="s">
        <v>386</v>
      </c>
      <c r="C82" s="105" t="s">
        <v>387</v>
      </c>
      <c r="D82" s="124">
        <v>18965</v>
      </c>
      <c r="E82" s="105" t="s">
        <v>388</v>
      </c>
      <c r="F82" s="107"/>
      <c r="G82" s="7">
        <v>37147.5</v>
      </c>
      <c r="AH82" s="7">
        <v>37147.5</v>
      </c>
      <c r="AM82" s="108">
        <f t="shared" si="3"/>
        <v>37147.5</v>
      </c>
      <c r="AN82" s="108">
        <f t="shared" si="7"/>
        <v>37147.5</v>
      </c>
      <c r="AO82" s="108">
        <f t="shared" si="4"/>
        <v>0</v>
      </c>
      <c r="AP82" s="108">
        <f t="shared" si="5"/>
        <v>37147.5</v>
      </c>
      <c r="AQ82" s="108">
        <f t="shared" si="8"/>
        <v>37147.5</v>
      </c>
      <c r="AR82" s="108">
        <f t="shared" si="6"/>
        <v>0</v>
      </c>
      <c r="AS82" s="7">
        <v>218</v>
      </c>
    </row>
    <row r="83" spans="1:45" x14ac:dyDescent="0.2">
      <c r="A83" s="127"/>
      <c r="B83" s="128" t="s">
        <v>191</v>
      </c>
      <c r="C83" s="105" t="s">
        <v>101</v>
      </c>
      <c r="D83" s="124" t="s">
        <v>389</v>
      </c>
      <c r="E83" s="105" t="s">
        <v>42</v>
      </c>
      <c r="F83" s="107"/>
      <c r="G83" s="7">
        <v>18542.5</v>
      </c>
      <c r="Y83" s="7">
        <v>18542.5</v>
      </c>
      <c r="AM83" s="108">
        <f t="shared" si="3"/>
        <v>18542.5</v>
      </c>
      <c r="AN83" s="108">
        <f t="shared" si="7"/>
        <v>18542.5</v>
      </c>
      <c r="AO83" s="108">
        <f t="shared" si="4"/>
        <v>0</v>
      </c>
      <c r="AP83" s="108">
        <f t="shared" si="5"/>
        <v>18542.5</v>
      </c>
      <c r="AQ83" s="108" t="e">
        <f>AI83+AH83+AG83+AF83+AD83+AC83+AB83+AA83+Z83+Y83+X83+#REF!+V83+T83+R83+Q83+#REF!+O83+N83+H83</f>
        <v>#REF!</v>
      </c>
      <c r="AR83" s="108" t="e">
        <f t="shared" si="6"/>
        <v>#REF!</v>
      </c>
    </row>
    <row r="84" spans="1:45" x14ac:dyDescent="0.2">
      <c r="A84" s="127"/>
      <c r="B84" s="128"/>
      <c r="C84" s="105" t="s">
        <v>414</v>
      </c>
      <c r="D84" s="124"/>
      <c r="F84" s="107"/>
      <c r="M84" s="7">
        <v>310.25</v>
      </c>
      <c r="AJ84" s="7">
        <v>310.25</v>
      </c>
      <c r="AM84" s="108"/>
      <c r="AN84" s="108"/>
      <c r="AO84" s="108"/>
      <c r="AP84" s="108"/>
      <c r="AQ84" s="108"/>
      <c r="AR84" s="108"/>
    </row>
    <row r="85" spans="1:45" ht="16.5" thickBot="1" x14ac:dyDescent="0.3">
      <c r="A85" s="127"/>
      <c r="B85" s="128"/>
      <c r="D85" s="122"/>
      <c r="E85" s="123"/>
      <c r="F85" s="107"/>
      <c r="G85" s="129">
        <f t="shared" ref="G85:M85" si="9">SUM(G11:G84)</f>
        <v>558859.15</v>
      </c>
      <c r="H85" s="129">
        <f t="shared" si="9"/>
        <v>435661.15</v>
      </c>
      <c r="I85" s="129">
        <f t="shared" si="9"/>
        <v>166436.01</v>
      </c>
      <c r="J85" s="129">
        <f t="shared" si="9"/>
        <v>191951.14</v>
      </c>
      <c r="K85" s="129">
        <f t="shared" si="9"/>
        <v>73497</v>
      </c>
      <c r="L85" s="129">
        <f t="shared" si="9"/>
        <v>0</v>
      </c>
      <c r="M85" s="129">
        <f t="shared" si="9"/>
        <v>310.25</v>
      </c>
      <c r="N85" s="129">
        <f t="shared" ref="N85:X85" si="10">SUM(N11:O84)</f>
        <v>1960</v>
      </c>
      <c r="O85" s="129">
        <f t="shared" si="10"/>
        <v>82.5</v>
      </c>
      <c r="P85" s="129">
        <f t="shared" si="10"/>
        <v>82.5</v>
      </c>
      <c r="Q85" s="129">
        <f t="shared" si="10"/>
        <v>50</v>
      </c>
      <c r="R85" s="129">
        <f t="shared" si="10"/>
        <v>50</v>
      </c>
      <c r="S85" s="129">
        <f t="shared" si="10"/>
        <v>105</v>
      </c>
      <c r="T85" s="129">
        <f t="shared" si="10"/>
        <v>105</v>
      </c>
      <c r="U85" s="129">
        <f t="shared" si="10"/>
        <v>0</v>
      </c>
      <c r="V85" s="129">
        <f t="shared" si="10"/>
        <v>2810</v>
      </c>
      <c r="W85" s="129">
        <f t="shared" si="10"/>
        <v>2810</v>
      </c>
      <c r="X85" s="129">
        <f t="shared" si="10"/>
        <v>108399.5</v>
      </c>
      <c r="Y85" s="129">
        <f>SUM(Y11:Y84)</f>
        <v>108399.5</v>
      </c>
      <c r="Z85" s="129">
        <f>SUM(Z11:Z84)</f>
        <v>120</v>
      </c>
      <c r="AA85" s="129">
        <f>SUM(AA11:AA84)</f>
        <v>4200</v>
      </c>
      <c r="AB85" s="129">
        <f>SUM(AB11:AB84)</f>
        <v>342441.65</v>
      </c>
      <c r="AC85" s="129">
        <f>SUM(AC11:AD84)</f>
        <v>3600</v>
      </c>
      <c r="AD85" s="129">
        <f>SUM(AD11:AE84)</f>
        <v>54000</v>
      </c>
      <c r="AE85" s="129">
        <f>SUM(AE11:AF84)</f>
        <v>54000</v>
      </c>
      <c r="AF85" s="129">
        <f>SUM(AF11:AG84)</f>
        <v>0</v>
      </c>
      <c r="AG85" s="129">
        <f>SUM(AG11:AH84)</f>
        <v>37147.5</v>
      </c>
      <c r="AH85" s="129">
        <f>SUM(AH11:AH84)</f>
        <v>37147.5</v>
      </c>
      <c r="AI85" s="129">
        <f>SUM(AI11:AJ84)</f>
        <v>310.25</v>
      </c>
      <c r="AJ85" s="129">
        <f>SUM(AJ11:AK84)</f>
        <v>310.25</v>
      </c>
      <c r="AK85" s="129">
        <f>SUM(AK11:AL84)</f>
        <v>0</v>
      </c>
      <c r="AM85" s="108"/>
      <c r="AN85" s="108"/>
      <c r="AO85" s="108"/>
      <c r="AP85" s="108"/>
      <c r="AQ85" s="108"/>
      <c r="AR85" s="108"/>
    </row>
    <row r="86" spans="1:45" ht="16.5" thickTop="1" x14ac:dyDescent="0.2">
      <c r="A86" s="127"/>
      <c r="B86" s="128"/>
      <c r="D86" s="122"/>
      <c r="E86" s="123"/>
      <c r="F86" s="107"/>
      <c r="AM86" s="108"/>
      <c r="AN86" s="108"/>
      <c r="AO86" s="108"/>
      <c r="AP86" s="108"/>
      <c r="AQ86" s="108"/>
      <c r="AR86" s="108"/>
    </row>
    <row r="87" spans="1:45" x14ac:dyDescent="0.2">
      <c r="A87" s="127"/>
      <c r="B87" s="128"/>
      <c r="D87" s="122"/>
      <c r="E87" s="123"/>
      <c r="F87" s="107"/>
      <c r="AM87" s="108"/>
      <c r="AN87" s="108"/>
      <c r="AO87" s="108"/>
      <c r="AP87" s="108"/>
      <c r="AQ87" s="108"/>
      <c r="AR87" s="108"/>
    </row>
    <row r="88" spans="1:45" ht="15" x14ac:dyDescent="0.2">
      <c r="A88" s="56"/>
      <c r="B88" s="105"/>
      <c r="D88" s="56"/>
      <c r="G88" s="108"/>
      <c r="H88" s="56"/>
      <c r="I88" s="56"/>
      <c r="J88" s="56"/>
      <c r="K88" s="56"/>
      <c r="L88" s="56"/>
      <c r="M88" s="56"/>
      <c r="AM88" s="108">
        <f t="shared" ref="AM88:AM129" si="11">+SUM(G88,I88:L88)</f>
        <v>0</v>
      </c>
      <c r="AN88" s="108">
        <f t="shared" ref="AN88:AN129" si="12">+SUM(H88,N88:W88,X88:AI88,AK88)</f>
        <v>0</v>
      </c>
      <c r="AO88" s="108">
        <f t="shared" ref="AO88:AO129" si="13">+AM88-AN88</f>
        <v>0</v>
      </c>
    </row>
    <row r="89" spans="1:45" ht="15" x14ac:dyDescent="0.2">
      <c r="A89" s="56"/>
      <c r="B89" s="105"/>
      <c r="D89" s="56"/>
      <c r="G89" s="56"/>
      <c r="H89" s="56"/>
      <c r="I89" s="56"/>
      <c r="J89" s="56"/>
      <c r="K89" s="56"/>
      <c r="L89" s="56"/>
      <c r="M89" s="56"/>
      <c r="AM89" s="108">
        <f t="shared" si="11"/>
        <v>0</v>
      </c>
      <c r="AN89" s="108">
        <f t="shared" si="12"/>
        <v>0</v>
      </c>
      <c r="AO89" s="108">
        <f t="shared" si="13"/>
        <v>0</v>
      </c>
    </row>
    <row r="90" spans="1:45" ht="15" x14ac:dyDescent="0.2">
      <c r="A90" s="56"/>
      <c r="B90" s="105"/>
      <c r="D90" s="56"/>
      <c r="G90" s="56"/>
      <c r="H90" s="56"/>
      <c r="I90" s="56"/>
      <c r="J90" s="56"/>
      <c r="K90" s="56"/>
      <c r="L90" s="56"/>
      <c r="M90" s="56"/>
      <c r="AM90" s="108">
        <f t="shared" si="11"/>
        <v>0</v>
      </c>
      <c r="AN90" s="108">
        <f t="shared" si="12"/>
        <v>0</v>
      </c>
      <c r="AO90" s="108">
        <f t="shared" si="13"/>
        <v>0</v>
      </c>
    </row>
    <row r="91" spans="1:45" ht="15" x14ac:dyDescent="0.2">
      <c r="A91" s="56"/>
      <c r="B91" s="105"/>
      <c r="D91" s="56"/>
      <c r="G91" s="56"/>
      <c r="H91" s="56"/>
      <c r="I91" s="56"/>
      <c r="J91" s="56"/>
      <c r="K91" s="56"/>
      <c r="L91" s="56"/>
      <c r="M91" s="56"/>
      <c r="AM91" s="108">
        <f t="shared" si="11"/>
        <v>0</v>
      </c>
      <c r="AN91" s="108">
        <f t="shared" si="12"/>
        <v>0</v>
      </c>
      <c r="AO91" s="108">
        <f t="shared" si="13"/>
        <v>0</v>
      </c>
    </row>
    <row r="92" spans="1:45" ht="15" x14ac:dyDescent="0.2">
      <c r="A92" s="56"/>
      <c r="B92" s="105"/>
      <c r="D92" s="56"/>
      <c r="G92" s="56"/>
      <c r="H92" s="56"/>
      <c r="I92" s="56"/>
      <c r="J92" s="56"/>
      <c r="K92" s="56"/>
      <c r="L92" s="56"/>
      <c r="M92" s="56"/>
      <c r="AM92" s="108">
        <f t="shared" si="11"/>
        <v>0</v>
      </c>
      <c r="AN92" s="108">
        <f t="shared" si="12"/>
        <v>0</v>
      </c>
      <c r="AO92" s="108">
        <f t="shared" si="13"/>
        <v>0</v>
      </c>
    </row>
    <row r="93" spans="1:45" ht="15" x14ac:dyDescent="0.2">
      <c r="A93" s="56"/>
      <c r="B93" s="105"/>
      <c r="D93" s="56"/>
      <c r="G93" s="56"/>
      <c r="H93" s="56"/>
      <c r="I93" s="56"/>
      <c r="J93" s="56"/>
      <c r="K93" s="56"/>
      <c r="L93" s="56"/>
      <c r="M93" s="56"/>
      <c r="AM93" s="108">
        <f t="shared" si="11"/>
        <v>0</v>
      </c>
      <c r="AN93" s="108">
        <f t="shared" si="12"/>
        <v>0</v>
      </c>
      <c r="AO93" s="108">
        <f t="shared" si="13"/>
        <v>0</v>
      </c>
    </row>
    <row r="94" spans="1:45" ht="15" x14ac:dyDescent="0.2">
      <c r="A94" s="56"/>
      <c r="B94" s="105"/>
      <c r="D94" s="56"/>
      <c r="G94" s="56"/>
      <c r="H94" s="56"/>
      <c r="I94" s="56"/>
      <c r="J94" s="56"/>
      <c r="K94" s="56"/>
      <c r="L94" s="56"/>
      <c r="M94" s="56"/>
      <c r="AM94" s="108">
        <f t="shared" si="11"/>
        <v>0</v>
      </c>
      <c r="AN94" s="108">
        <f t="shared" si="12"/>
        <v>0</v>
      </c>
      <c r="AO94" s="108">
        <f t="shared" si="13"/>
        <v>0</v>
      </c>
    </row>
    <row r="95" spans="1:45" ht="15" x14ac:dyDescent="0.2">
      <c r="A95" s="56"/>
      <c r="B95" s="105"/>
      <c r="D95" s="56"/>
      <c r="G95" s="56"/>
      <c r="H95" s="56"/>
      <c r="I95" s="56"/>
      <c r="J95" s="56"/>
      <c r="K95" s="56"/>
      <c r="L95" s="56"/>
      <c r="M95" s="56"/>
      <c r="AM95" s="108">
        <f t="shared" si="11"/>
        <v>0</v>
      </c>
      <c r="AN95" s="108">
        <f t="shared" si="12"/>
        <v>0</v>
      </c>
      <c r="AO95" s="108">
        <f t="shared" si="13"/>
        <v>0</v>
      </c>
    </row>
    <row r="96" spans="1:45" ht="15" x14ac:dyDescent="0.2">
      <c r="A96" s="56"/>
      <c r="B96" s="105"/>
      <c r="D96" s="56"/>
      <c r="G96" s="56"/>
      <c r="H96" s="56"/>
      <c r="I96" s="56"/>
      <c r="J96" s="56"/>
      <c r="K96" s="56"/>
      <c r="L96" s="56"/>
      <c r="M96" s="56"/>
      <c r="AM96" s="108">
        <f t="shared" si="11"/>
        <v>0</v>
      </c>
      <c r="AN96" s="108">
        <f t="shared" si="12"/>
        <v>0</v>
      </c>
      <c r="AO96" s="108">
        <f t="shared" si="13"/>
        <v>0</v>
      </c>
    </row>
    <row r="97" spans="1:41" ht="15" x14ac:dyDescent="0.2">
      <c r="A97" s="56"/>
      <c r="B97" s="105"/>
      <c r="D97" s="56"/>
      <c r="G97" s="56"/>
      <c r="H97" s="56"/>
      <c r="I97" s="56"/>
      <c r="J97" s="56"/>
      <c r="K97" s="56"/>
      <c r="L97" s="56"/>
      <c r="M97" s="56"/>
      <c r="AM97" s="108">
        <f t="shared" si="11"/>
        <v>0</v>
      </c>
      <c r="AN97" s="108">
        <f t="shared" si="12"/>
        <v>0</v>
      </c>
      <c r="AO97" s="108">
        <f t="shared" si="13"/>
        <v>0</v>
      </c>
    </row>
    <row r="98" spans="1:41" ht="15" x14ac:dyDescent="0.2">
      <c r="A98" s="56"/>
      <c r="B98" s="105"/>
      <c r="D98" s="56"/>
      <c r="G98" s="56"/>
      <c r="H98" s="56"/>
      <c r="I98" s="56"/>
      <c r="J98" s="56"/>
      <c r="K98" s="56"/>
      <c r="L98" s="56"/>
      <c r="M98" s="56"/>
      <c r="AM98" s="108">
        <f t="shared" si="11"/>
        <v>0</v>
      </c>
      <c r="AN98" s="108">
        <f t="shared" si="12"/>
        <v>0</v>
      </c>
      <c r="AO98" s="108">
        <f t="shared" si="13"/>
        <v>0</v>
      </c>
    </row>
    <row r="99" spans="1:41" ht="15" x14ac:dyDescent="0.2">
      <c r="A99" s="56"/>
      <c r="B99" s="105"/>
      <c r="D99" s="56"/>
      <c r="G99" s="56"/>
      <c r="H99" s="56"/>
      <c r="I99" s="56"/>
      <c r="J99" s="56"/>
      <c r="K99" s="56"/>
      <c r="L99" s="56"/>
      <c r="M99" s="56"/>
      <c r="AM99" s="108">
        <f t="shared" si="11"/>
        <v>0</v>
      </c>
      <c r="AN99" s="108">
        <f t="shared" si="12"/>
        <v>0</v>
      </c>
      <c r="AO99" s="108">
        <f t="shared" si="13"/>
        <v>0</v>
      </c>
    </row>
    <row r="100" spans="1:41" ht="15" x14ac:dyDescent="0.2">
      <c r="A100" s="56"/>
      <c r="B100" s="105"/>
      <c r="D100" s="56"/>
      <c r="G100" s="56"/>
      <c r="H100" s="56"/>
      <c r="I100" s="56"/>
      <c r="J100" s="56"/>
      <c r="K100" s="56"/>
      <c r="L100" s="56"/>
      <c r="M100" s="56"/>
      <c r="AM100" s="108">
        <f t="shared" si="11"/>
        <v>0</v>
      </c>
      <c r="AN100" s="108">
        <f t="shared" si="12"/>
        <v>0</v>
      </c>
      <c r="AO100" s="108">
        <f t="shared" si="13"/>
        <v>0</v>
      </c>
    </row>
    <row r="101" spans="1:41" ht="15" x14ac:dyDescent="0.2">
      <c r="A101" s="56"/>
      <c r="B101" s="105"/>
      <c r="D101" s="56"/>
      <c r="G101" s="56"/>
      <c r="H101" s="56"/>
      <c r="I101" s="56"/>
      <c r="J101" s="56"/>
      <c r="K101" s="56"/>
      <c r="L101" s="56"/>
      <c r="M101" s="56"/>
      <c r="AM101" s="108">
        <f t="shared" si="11"/>
        <v>0</v>
      </c>
      <c r="AN101" s="108">
        <f t="shared" si="12"/>
        <v>0</v>
      </c>
      <c r="AO101" s="108">
        <f t="shared" si="13"/>
        <v>0</v>
      </c>
    </row>
    <row r="102" spans="1:41" ht="15" x14ac:dyDescent="0.2">
      <c r="A102" s="56"/>
      <c r="B102" s="105"/>
      <c r="D102" s="56"/>
      <c r="G102" s="56"/>
      <c r="H102" s="56"/>
      <c r="I102" s="56"/>
      <c r="J102" s="56"/>
      <c r="K102" s="56"/>
      <c r="L102" s="56"/>
      <c r="M102" s="56"/>
      <c r="AM102" s="108">
        <f t="shared" si="11"/>
        <v>0</v>
      </c>
      <c r="AN102" s="108">
        <f t="shared" si="12"/>
        <v>0</v>
      </c>
      <c r="AO102" s="108">
        <f t="shared" si="13"/>
        <v>0</v>
      </c>
    </row>
    <row r="103" spans="1:41" ht="15" x14ac:dyDescent="0.2">
      <c r="A103" s="56"/>
      <c r="B103" s="105"/>
      <c r="D103" s="56"/>
      <c r="G103" s="56"/>
      <c r="H103" s="56"/>
      <c r="I103" s="56"/>
      <c r="J103" s="56"/>
      <c r="K103" s="56"/>
      <c r="L103" s="56"/>
      <c r="M103" s="56"/>
      <c r="AM103" s="108">
        <f t="shared" si="11"/>
        <v>0</v>
      </c>
      <c r="AN103" s="108">
        <f t="shared" si="12"/>
        <v>0</v>
      </c>
      <c r="AO103" s="108">
        <f t="shared" si="13"/>
        <v>0</v>
      </c>
    </row>
    <row r="104" spans="1:41" ht="15" x14ac:dyDescent="0.2">
      <c r="A104" s="56"/>
      <c r="B104" s="105"/>
      <c r="D104" s="56"/>
      <c r="G104" s="56"/>
      <c r="H104" s="56"/>
      <c r="I104" s="56"/>
      <c r="J104" s="56"/>
      <c r="K104" s="56"/>
      <c r="L104" s="56"/>
      <c r="M104" s="56"/>
      <c r="AM104" s="108">
        <f t="shared" si="11"/>
        <v>0</v>
      </c>
      <c r="AN104" s="108">
        <f t="shared" si="12"/>
        <v>0</v>
      </c>
      <c r="AO104" s="108">
        <f t="shared" si="13"/>
        <v>0</v>
      </c>
    </row>
    <row r="105" spans="1:41" ht="15" x14ac:dyDescent="0.2">
      <c r="A105" s="56"/>
      <c r="B105" s="105"/>
      <c r="D105" s="56"/>
      <c r="G105" s="56"/>
      <c r="H105" s="56"/>
      <c r="I105" s="56"/>
      <c r="J105" s="56"/>
      <c r="K105" s="56"/>
      <c r="L105" s="56"/>
      <c r="M105" s="56"/>
      <c r="AM105" s="108">
        <f t="shared" si="11"/>
        <v>0</v>
      </c>
      <c r="AN105" s="108">
        <f t="shared" si="12"/>
        <v>0</v>
      </c>
      <c r="AO105" s="108">
        <f t="shared" si="13"/>
        <v>0</v>
      </c>
    </row>
    <row r="106" spans="1:41" ht="15" x14ac:dyDescent="0.2">
      <c r="A106" s="56"/>
      <c r="B106" s="105"/>
      <c r="D106" s="56"/>
      <c r="G106" s="56"/>
      <c r="H106" s="56"/>
      <c r="I106" s="56"/>
      <c r="J106" s="56"/>
      <c r="K106" s="56"/>
      <c r="L106" s="56"/>
      <c r="M106" s="56"/>
      <c r="AM106" s="108">
        <f t="shared" si="11"/>
        <v>0</v>
      </c>
      <c r="AN106" s="108">
        <f t="shared" si="12"/>
        <v>0</v>
      </c>
      <c r="AO106" s="108">
        <f t="shared" si="13"/>
        <v>0</v>
      </c>
    </row>
    <row r="107" spans="1:41" ht="15" x14ac:dyDescent="0.2">
      <c r="A107" s="56"/>
      <c r="B107" s="105"/>
      <c r="D107" s="56"/>
      <c r="G107" s="56"/>
      <c r="H107" s="56"/>
      <c r="I107" s="56"/>
      <c r="J107" s="56"/>
      <c r="K107" s="56"/>
      <c r="L107" s="56"/>
      <c r="M107" s="56"/>
      <c r="AM107" s="108">
        <f t="shared" si="11"/>
        <v>0</v>
      </c>
      <c r="AN107" s="108">
        <f t="shared" si="12"/>
        <v>0</v>
      </c>
      <c r="AO107" s="108">
        <f t="shared" si="13"/>
        <v>0</v>
      </c>
    </row>
    <row r="108" spans="1:41" ht="15" x14ac:dyDescent="0.2">
      <c r="A108" s="56"/>
      <c r="B108" s="105"/>
      <c r="D108" s="56"/>
      <c r="G108" s="56"/>
      <c r="H108" s="56"/>
      <c r="I108" s="56"/>
      <c r="J108" s="56"/>
      <c r="K108" s="56"/>
      <c r="L108" s="56"/>
      <c r="M108" s="56"/>
      <c r="AM108" s="108">
        <f t="shared" si="11"/>
        <v>0</v>
      </c>
      <c r="AN108" s="108">
        <f t="shared" si="12"/>
        <v>0</v>
      </c>
      <c r="AO108" s="108">
        <f t="shared" si="13"/>
        <v>0</v>
      </c>
    </row>
    <row r="109" spans="1:41" ht="15" x14ac:dyDescent="0.2">
      <c r="A109" s="56"/>
      <c r="B109" s="105"/>
      <c r="D109" s="56"/>
      <c r="G109" s="56"/>
      <c r="H109" s="56"/>
      <c r="I109" s="56"/>
      <c r="J109" s="56"/>
      <c r="K109" s="56"/>
      <c r="L109" s="56"/>
      <c r="M109" s="56"/>
      <c r="AM109" s="108">
        <f t="shared" si="11"/>
        <v>0</v>
      </c>
      <c r="AN109" s="108">
        <f t="shared" si="12"/>
        <v>0</v>
      </c>
      <c r="AO109" s="108">
        <f t="shared" si="13"/>
        <v>0</v>
      </c>
    </row>
    <row r="110" spans="1:41" ht="15" x14ac:dyDescent="0.2">
      <c r="A110" s="56"/>
      <c r="B110" s="105"/>
      <c r="D110" s="56"/>
      <c r="G110" s="56"/>
      <c r="H110" s="56"/>
      <c r="I110" s="56"/>
      <c r="J110" s="56"/>
      <c r="K110" s="56"/>
      <c r="L110" s="56"/>
      <c r="M110" s="56"/>
      <c r="AM110" s="108">
        <f t="shared" si="11"/>
        <v>0</v>
      </c>
      <c r="AN110" s="108">
        <f t="shared" si="12"/>
        <v>0</v>
      </c>
      <c r="AO110" s="108">
        <f t="shared" si="13"/>
        <v>0</v>
      </c>
    </row>
    <row r="111" spans="1:41" ht="15" x14ac:dyDescent="0.2">
      <c r="A111" s="56"/>
      <c r="B111" s="105"/>
      <c r="D111" s="56"/>
      <c r="G111" s="56"/>
      <c r="H111" s="56"/>
      <c r="I111" s="56"/>
      <c r="J111" s="56"/>
      <c r="K111" s="56"/>
      <c r="L111" s="56"/>
      <c r="M111" s="56"/>
      <c r="AM111" s="108">
        <f t="shared" si="11"/>
        <v>0</v>
      </c>
      <c r="AN111" s="108">
        <f t="shared" si="12"/>
        <v>0</v>
      </c>
      <c r="AO111" s="108">
        <f t="shared" si="13"/>
        <v>0</v>
      </c>
    </row>
    <row r="112" spans="1:41" ht="15" x14ac:dyDescent="0.2">
      <c r="A112" s="56"/>
      <c r="B112" s="105"/>
      <c r="D112" s="56"/>
      <c r="G112" s="56"/>
      <c r="H112" s="56"/>
      <c r="I112" s="56"/>
      <c r="J112" s="56"/>
      <c r="K112" s="56"/>
      <c r="L112" s="56"/>
      <c r="M112" s="56"/>
      <c r="AM112" s="108">
        <f t="shared" si="11"/>
        <v>0</v>
      </c>
      <c r="AN112" s="108">
        <f t="shared" si="12"/>
        <v>0</v>
      </c>
      <c r="AO112" s="108">
        <f t="shared" si="13"/>
        <v>0</v>
      </c>
    </row>
    <row r="113" spans="1:41" ht="15" x14ac:dyDescent="0.2">
      <c r="A113" s="56"/>
      <c r="B113" s="105"/>
      <c r="D113" s="56"/>
      <c r="G113" s="56"/>
      <c r="H113" s="56"/>
      <c r="I113" s="56"/>
      <c r="J113" s="56"/>
      <c r="K113" s="56"/>
      <c r="L113" s="56"/>
      <c r="M113" s="56"/>
      <c r="AM113" s="108">
        <f t="shared" si="11"/>
        <v>0</v>
      </c>
      <c r="AN113" s="108">
        <f t="shared" si="12"/>
        <v>0</v>
      </c>
      <c r="AO113" s="108">
        <f t="shared" si="13"/>
        <v>0</v>
      </c>
    </row>
    <row r="114" spans="1:41" ht="15" x14ac:dyDescent="0.2">
      <c r="A114" s="56"/>
      <c r="B114" s="105"/>
      <c r="D114" s="56"/>
      <c r="G114" s="56"/>
      <c r="H114" s="56"/>
      <c r="I114" s="56"/>
      <c r="J114" s="56"/>
      <c r="K114" s="56"/>
      <c r="L114" s="56"/>
      <c r="M114" s="56"/>
      <c r="AM114" s="108">
        <f t="shared" si="11"/>
        <v>0</v>
      </c>
      <c r="AN114" s="108">
        <f t="shared" si="12"/>
        <v>0</v>
      </c>
      <c r="AO114" s="108">
        <f t="shared" si="13"/>
        <v>0</v>
      </c>
    </row>
    <row r="115" spans="1:41" ht="15" x14ac:dyDescent="0.2">
      <c r="A115" s="56"/>
      <c r="B115" s="105"/>
      <c r="D115" s="56"/>
      <c r="G115" s="56"/>
      <c r="H115" s="56"/>
      <c r="I115" s="56"/>
      <c r="J115" s="56"/>
      <c r="K115" s="56"/>
      <c r="L115" s="56"/>
      <c r="M115" s="56"/>
      <c r="AM115" s="108">
        <f t="shared" si="11"/>
        <v>0</v>
      </c>
      <c r="AN115" s="108">
        <f t="shared" si="12"/>
        <v>0</v>
      </c>
      <c r="AO115" s="108">
        <f t="shared" si="13"/>
        <v>0</v>
      </c>
    </row>
    <row r="116" spans="1:41" ht="15" x14ac:dyDescent="0.2">
      <c r="A116" s="56"/>
      <c r="B116" s="105"/>
      <c r="D116" s="56"/>
      <c r="G116" s="56"/>
      <c r="H116" s="56"/>
      <c r="I116" s="56"/>
      <c r="J116" s="56"/>
      <c r="K116" s="56"/>
      <c r="L116" s="56"/>
      <c r="M116" s="56"/>
      <c r="AM116" s="108">
        <f t="shared" si="11"/>
        <v>0</v>
      </c>
      <c r="AN116" s="108">
        <f t="shared" si="12"/>
        <v>0</v>
      </c>
      <c r="AO116" s="108">
        <f t="shared" si="13"/>
        <v>0</v>
      </c>
    </row>
    <row r="117" spans="1:41" ht="15" x14ac:dyDescent="0.2">
      <c r="A117" s="56"/>
      <c r="B117" s="105"/>
      <c r="D117" s="56"/>
      <c r="G117" s="56"/>
      <c r="H117" s="56"/>
      <c r="I117" s="56"/>
      <c r="J117" s="56"/>
      <c r="K117" s="56"/>
      <c r="L117" s="56"/>
      <c r="M117" s="56"/>
      <c r="AM117" s="108">
        <f t="shared" si="11"/>
        <v>0</v>
      </c>
      <c r="AN117" s="108">
        <f t="shared" si="12"/>
        <v>0</v>
      </c>
      <c r="AO117" s="108">
        <f t="shared" si="13"/>
        <v>0</v>
      </c>
    </row>
    <row r="118" spans="1:41" ht="15" x14ac:dyDescent="0.2">
      <c r="A118" s="56"/>
      <c r="B118" s="105"/>
      <c r="D118" s="56"/>
      <c r="G118" s="56"/>
      <c r="H118" s="56"/>
      <c r="I118" s="56"/>
      <c r="J118" s="56"/>
      <c r="K118" s="56"/>
      <c r="L118" s="56"/>
      <c r="M118" s="56"/>
      <c r="AM118" s="108">
        <f t="shared" si="11"/>
        <v>0</v>
      </c>
      <c r="AN118" s="108">
        <f t="shared" si="12"/>
        <v>0</v>
      </c>
      <c r="AO118" s="108">
        <f t="shared" si="13"/>
        <v>0</v>
      </c>
    </row>
    <row r="119" spans="1:41" ht="15" x14ac:dyDescent="0.2">
      <c r="A119" s="56"/>
      <c r="B119" s="105"/>
      <c r="D119" s="56"/>
      <c r="G119" s="56"/>
      <c r="H119" s="56"/>
      <c r="I119" s="56"/>
      <c r="J119" s="56"/>
      <c r="K119" s="56"/>
      <c r="L119" s="56"/>
      <c r="M119" s="56"/>
      <c r="AM119" s="108">
        <f t="shared" si="11"/>
        <v>0</v>
      </c>
      <c r="AN119" s="108">
        <f t="shared" si="12"/>
        <v>0</v>
      </c>
      <c r="AO119" s="108">
        <f t="shared" si="13"/>
        <v>0</v>
      </c>
    </row>
    <row r="120" spans="1:41" ht="15" x14ac:dyDescent="0.2">
      <c r="A120" s="56"/>
      <c r="B120" s="105"/>
      <c r="D120" s="56"/>
      <c r="G120" s="56"/>
      <c r="H120" s="56"/>
      <c r="I120" s="56"/>
      <c r="J120" s="56"/>
      <c r="K120" s="56"/>
      <c r="L120" s="56"/>
      <c r="M120" s="56"/>
      <c r="AM120" s="108">
        <f t="shared" si="11"/>
        <v>0</v>
      </c>
      <c r="AN120" s="108">
        <f t="shared" si="12"/>
        <v>0</v>
      </c>
      <c r="AO120" s="108">
        <f t="shared" si="13"/>
        <v>0</v>
      </c>
    </row>
    <row r="121" spans="1:41" ht="15" x14ac:dyDescent="0.2">
      <c r="A121" s="56"/>
      <c r="B121" s="105"/>
      <c r="D121" s="56"/>
      <c r="G121" s="56"/>
      <c r="H121" s="56"/>
      <c r="I121" s="56"/>
      <c r="J121" s="56"/>
      <c r="K121" s="56"/>
      <c r="L121" s="56"/>
      <c r="M121" s="56"/>
      <c r="AM121" s="108">
        <f t="shared" si="11"/>
        <v>0</v>
      </c>
      <c r="AN121" s="108">
        <f t="shared" si="12"/>
        <v>0</v>
      </c>
      <c r="AO121" s="108">
        <f t="shared" si="13"/>
        <v>0</v>
      </c>
    </row>
    <row r="122" spans="1:41" ht="15" x14ac:dyDescent="0.2">
      <c r="A122" s="56"/>
      <c r="B122" s="105"/>
      <c r="D122" s="56"/>
      <c r="G122" s="56"/>
      <c r="H122" s="56"/>
      <c r="I122" s="56"/>
      <c r="J122" s="56"/>
      <c r="K122" s="56"/>
      <c r="L122" s="56"/>
      <c r="M122" s="56"/>
      <c r="AM122" s="108">
        <f t="shared" si="11"/>
        <v>0</v>
      </c>
      <c r="AN122" s="108">
        <f t="shared" si="12"/>
        <v>0</v>
      </c>
      <c r="AO122" s="108">
        <f t="shared" si="13"/>
        <v>0</v>
      </c>
    </row>
    <row r="123" spans="1:41" ht="15" x14ac:dyDescent="0.2">
      <c r="A123" s="56"/>
      <c r="B123" s="105"/>
      <c r="D123" s="56"/>
      <c r="G123" s="56"/>
      <c r="H123" s="56"/>
      <c r="I123" s="56"/>
      <c r="J123" s="56"/>
      <c r="K123" s="56"/>
      <c r="L123" s="56"/>
      <c r="M123" s="56"/>
      <c r="AM123" s="108">
        <f t="shared" si="11"/>
        <v>0</v>
      </c>
      <c r="AN123" s="108">
        <f t="shared" si="12"/>
        <v>0</v>
      </c>
      <c r="AO123" s="108">
        <f t="shared" si="13"/>
        <v>0</v>
      </c>
    </row>
    <row r="124" spans="1:41" ht="15" x14ac:dyDescent="0.2">
      <c r="A124" s="56"/>
      <c r="B124" s="105"/>
      <c r="D124" s="56"/>
      <c r="G124" s="56"/>
      <c r="H124" s="56"/>
      <c r="I124" s="56"/>
      <c r="J124" s="56"/>
      <c r="K124" s="56"/>
      <c r="L124" s="56"/>
      <c r="M124" s="56"/>
      <c r="AM124" s="108">
        <f t="shared" si="11"/>
        <v>0</v>
      </c>
      <c r="AN124" s="108">
        <f t="shared" si="12"/>
        <v>0</v>
      </c>
      <c r="AO124" s="108">
        <f t="shared" si="13"/>
        <v>0</v>
      </c>
    </row>
    <row r="125" spans="1:41" ht="15" x14ac:dyDescent="0.2">
      <c r="A125" s="56"/>
      <c r="B125" s="105"/>
      <c r="D125" s="56"/>
      <c r="G125" s="56"/>
      <c r="H125" s="56"/>
      <c r="I125" s="56"/>
      <c r="J125" s="56"/>
      <c r="K125" s="56"/>
      <c r="L125" s="56"/>
      <c r="M125" s="56"/>
      <c r="AM125" s="108">
        <f t="shared" si="11"/>
        <v>0</v>
      </c>
      <c r="AN125" s="108">
        <f t="shared" si="12"/>
        <v>0</v>
      </c>
      <c r="AO125" s="108">
        <f t="shared" si="13"/>
        <v>0</v>
      </c>
    </row>
    <row r="126" spans="1:41" ht="15" x14ac:dyDescent="0.2">
      <c r="A126" s="56"/>
      <c r="B126" s="105"/>
      <c r="D126" s="56"/>
      <c r="G126" s="56"/>
      <c r="H126" s="56"/>
      <c r="I126" s="56"/>
      <c r="J126" s="56"/>
      <c r="K126" s="56"/>
      <c r="L126" s="56"/>
      <c r="M126" s="56"/>
      <c r="AM126" s="108">
        <f t="shared" si="11"/>
        <v>0</v>
      </c>
      <c r="AN126" s="108">
        <f t="shared" si="12"/>
        <v>0</v>
      </c>
      <c r="AO126" s="108">
        <f t="shared" si="13"/>
        <v>0</v>
      </c>
    </row>
    <row r="127" spans="1:41" ht="15" x14ac:dyDescent="0.2">
      <c r="A127" s="56"/>
      <c r="B127" s="105"/>
      <c r="D127" s="56"/>
      <c r="G127" s="56"/>
      <c r="H127" s="56"/>
      <c r="I127" s="56"/>
      <c r="J127" s="56"/>
      <c r="K127" s="56"/>
      <c r="L127" s="56"/>
      <c r="M127" s="56"/>
      <c r="AM127" s="108">
        <f t="shared" si="11"/>
        <v>0</v>
      </c>
      <c r="AN127" s="108">
        <f t="shared" si="12"/>
        <v>0</v>
      </c>
      <c r="AO127" s="108">
        <f t="shared" si="13"/>
        <v>0</v>
      </c>
    </row>
    <row r="128" spans="1:41" ht="15" x14ac:dyDescent="0.2">
      <c r="A128" s="56"/>
      <c r="B128" s="105"/>
      <c r="D128" s="56"/>
      <c r="G128" s="56"/>
      <c r="H128" s="56"/>
      <c r="I128" s="56"/>
      <c r="J128" s="56"/>
      <c r="K128" s="56"/>
      <c r="L128" s="56"/>
      <c r="M128" s="56"/>
      <c r="AM128" s="108">
        <f t="shared" si="11"/>
        <v>0</v>
      </c>
      <c r="AN128" s="108">
        <f t="shared" si="12"/>
        <v>0</v>
      </c>
      <c r="AO128" s="108">
        <f t="shared" si="13"/>
        <v>0</v>
      </c>
    </row>
    <row r="129" spans="1:41" ht="15" x14ac:dyDescent="0.2">
      <c r="A129" s="56"/>
      <c r="B129" s="105"/>
      <c r="D129" s="56"/>
      <c r="G129" s="56"/>
      <c r="H129" s="56"/>
      <c r="I129" s="56"/>
      <c r="J129" s="56"/>
      <c r="K129" s="56"/>
      <c r="L129" s="56"/>
      <c r="M129" s="56"/>
      <c r="AM129" s="108">
        <f t="shared" si="11"/>
        <v>0</v>
      </c>
      <c r="AN129" s="108">
        <f t="shared" si="12"/>
        <v>0</v>
      </c>
      <c r="AO129" s="108">
        <f t="shared" si="13"/>
        <v>0</v>
      </c>
    </row>
    <row r="130" spans="1:41" ht="15.75" customHeight="1" x14ac:dyDescent="0.2">
      <c r="A130" s="56"/>
      <c r="B130" s="105"/>
      <c r="D130" s="56"/>
      <c r="G130" s="56"/>
      <c r="H130" s="56"/>
      <c r="I130" s="56"/>
      <c r="J130" s="56"/>
      <c r="K130" s="56"/>
      <c r="L130" s="56"/>
      <c r="M130" s="56"/>
      <c r="AM130" s="108">
        <f t="shared" ref="AM130:AM136" si="14">+SUM(G130,I130:L130)</f>
        <v>0</v>
      </c>
      <c r="AN130" s="108">
        <f t="shared" ref="AN130:AN136" si="15">+SUM(H130,N130:W130,X130:AI130,AK130)</f>
        <v>0</v>
      </c>
      <c r="AO130" s="108">
        <f t="shared" ref="AO130:AO136" si="16">+AM130-AN130</f>
        <v>0</v>
      </c>
    </row>
    <row r="131" spans="1:41" ht="15" x14ac:dyDescent="0.2">
      <c r="A131" s="56"/>
      <c r="B131" s="105"/>
      <c r="D131" s="56"/>
      <c r="G131" s="56"/>
      <c r="H131" s="56"/>
      <c r="I131" s="56"/>
      <c r="J131" s="56"/>
      <c r="K131" s="56"/>
      <c r="L131" s="56"/>
      <c r="M131" s="56"/>
      <c r="AM131" s="108">
        <f t="shared" si="14"/>
        <v>0</v>
      </c>
      <c r="AN131" s="108">
        <f t="shared" si="15"/>
        <v>0</v>
      </c>
      <c r="AO131" s="108">
        <f t="shared" si="16"/>
        <v>0</v>
      </c>
    </row>
    <row r="132" spans="1:41" ht="15" x14ac:dyDescent="0.2">
      <c r="A132" s="56"/>
      <c r="B132" s="105"/>
      <c r="D132" s="56"/>
      <c r="G132" s="56"/>
      <c r="H132" s="56"/>
      <c r="I132" s="56"/>
      <c r="J132" s="56"/>
      <c r="K132" s="56"/>
      <c r="L132" s="56"/>
      <c r="M132" s="56"/>
      <c r="AM132" s="108">
        <f t="shared" si="14"/>
        <v>0</v>
      </c>
      <c r="AN132" s="108">
        <f t="shared" si="15"/>
        <v>0</v>
      </c>
      <c r="AO132" s="108">
        <f t="shared" si="16"/>
        <v>0</v>
      </c>
    </row>
    <row r="133" spans="1:41" ht="15" x14ac:dyDescent="0.2">
      <c r="A133" s="56"/>
      <c r="B133" s="105"/>
      <c r="D133" s="56"/>
      <c r="G133" s="56"/>
      <c r="H133" s="56"/>
      <c r="I133" s="56"/>
      <c r="J133" s="56"/>
      <c r="K133" s="56"/>
      <c r="L133" s="56"/>
      <c r="M133" s="56"/>
      <c r="AM133" s="108">
        <f t="shared" si="14"/>
        <v>0</v>
      </c>
      <c r="AN133" s="108">
        <f t="shared" si="15"/>
        <v>0</v>
      </c>
      <c r="AO133" s="108">
        <f t="shared" si="16"/>
        <v>0</v>
      </c>
    </row>
    <row r="134" spans="1:41" ht="15" x14ac:dyDescent="0.2">
      <c r="A134" s="56"/>
      <c r="B134" s="105"/>
      <c r="D134" s="56"/>
      <c r="G134" s="56"/>
      <c r="H134" s="56"/>
      <c r="I134" s="56"/>
      <c r="J134" s="56"/>
      <c r="K134" s="56"/>
      <c r="L134" s="56"/>
      <c r="M134" s="56"/>
      <c r="AM134" s="108">
        <f t="shared" si="14"/>
        <v>0</v>
      </c>
      <c r="AN134" s="108">
        <f t="shared" si="15"/>
        <v>0</v>
      </c>
      <c r="AO134" s="108">
        <f t="shared" si="16"/>
        <v>0</v>
      </c>
    </row>
    <row r="135" spans="1:41" ht="15" x14ac:dyDescent="0.2">
      <c r="A135" s="56"/>
      <c r="B135" s="105"/>
      <c r="D135" s="56"/>
      <c r="G135" s="56"/>
      <c r="H135" s="56"/>
      <c r="I135" s="56"/>
      <c r="J135" s="56"/>
      <c r="K135" s="56"/>
      <c r="L135" s="56"/>
      <c r="M135" s="56"/>
      <c r="AM135" s="108">
        <f t="shared" si="14"/>
        <v>0</v>
      </c>
      <c r="AN135" s="108">
        <f t="shared" si="15"/>
        <v>0</v>
      </c>
      <c r="AO135" s="108">
        <f t="shared" si="16"/>
        <v>0</v>
      </c>
    </row>
    <row r="136" spans="1:41" ht="15" x14ac:dyDescent="0.2">
      <c r="A136" s="56"/>
      <c r="B136" s="105"/>
      <c r="D136" s="56"/>
      <c r="G136" s="56"/>
      <c r="H136" s="56"/>
      <c r="I136" s="56"/>
      <c r="J136" s="56"/>
      <c r="K136" s="56"/>
      <c r="L136" s="56"/>
      <c r="M136" s="56"/>
      <c r="AM136" s="108">
        <f t="shared" si="14"/>
        <v>0</v>
      </c>
      <c r="AN136" s="108">
        <f t="shared" si="15"/>
        <v>0</v>
      </c>
      <c r="AO136" s="108">
        <f t="shared" si="16"/>
        <v>0</v>
      </c>
    </row>
    <row r="137" spans="1:41" ht="15" x14ac:dyDescent="0.2">
      <c r="A137" s="56"/>
      <c r="B137" s="105"/>
      <c r="D137" s="56"/>
      <c r="G137" s="56"/>
      <c r="H137" s="56"/>
      <c r="I137" s="56"/>
      <c r="J137" s="56"/>
      <c r="K137" s="56"/>
      <c r="L137" s="56"/>
      <c r="M137" s="56"/>
    </row>
    <row r="138" spans="1:41" ht="15" x14ac:dyDescent="0.2">
      <c r="A138" s="56"/>
      <c r="B138" s="105"/>
      <c r="D138" s="56"/>
      <c r="G138" s="56"/>
      <c r="H138" s="56"/>
      <c r="I138" s="56"/>
      <c r="J138" s="56"/>
      <c r="K138" s="56"/>
      <c r="L138" s="56"/>
      <c r="M138" s="56"/>
    </row>
  </sheetData>
  <mergeCells count="1">
    <mergeCell ref="G8:H9"/>
  </mergeCells>
  <phoneticPr fontId="18" type="noConversion"/>
  <pageMargins left="0.25" right="0.25" top="0.75" bottom="0.75" header="0.3" footer="0.3"/>
  <pageSetup paperSize="14" scale="24" fitToWidth="0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136A-C645-4715-99CC-D42A9C54299D}">
  <sheetPr>
    <pageSetUpPr fitToPage="1"/>
  </sheetPr>
  <dimension ref="A1:H232"/>
  <sheetViews>
    <sheetView topLeftCell="A100" workbookViewId="0">
      <selection sqref="A1:G152"/>
    </sheetView>
  </sheetViews>
  <sheetFormatPr defaultRowHeight="14.25" x14ac:dyDescent="0.2"/>
  <cols>
    <col min="1" max="1" width="6.28515625" style="130" customWidth="1"/>
    <col min="2" max="2" width="3.7109375" style="130" customWidth="1"/>
    <col min="3" max="3" width="41.7109375" style="130" customWidth="1"/>
    <col min="4" max="4" width="2.42578125" style="130" customWidth="1"/>
    <col min="5" max="5" width="16.140625" style="130" bestFit="1" customWidth="1"/>
    <col min="6" max="6" width="3.85546875" style="130" customWidth="1"/>
    <col min="7" max="7" width="41.140625" style="130" customWidth="1"/>
    <col min="8" max="8" width="41.5703125" style="130" customWidth="1"/>
    <col min="9" max="256" width="9.140625" style="130"/>
    <col min="257" max="257" width="5.85546875" style="130" customWidth="1"/>
    <col min="258" max="258" width="3.7109375" style="130" customWidth="1"/>
    <col min="259" max="259" width="39" style="130" customWidth="1"/>
    <col min="260" max="260" width="2.42578125" style="130" customWidth="1"/>
    <col min="261" max="261" width="14.140625" style="130" customWidth="1"/>
    <col min="262" max="262" width="2" style="130" customWidth="1"/>
    <col min="263" max="263" width="41.140625" style="130" customWidth="1"/>
    <col min="264" max="264" width="41.5703125" style="130" customWidth="1"/>
    <col min="265" max="512" width="9.140625" style="130"/>
    <col min="513" max="513" width="5.85546875" style="130" customWidth="1"/>
    <col min="514" max="514" width="3.7109375" style="130" customWidth="1"/>
    <col min="515" max="515" width="39" style="130" customWidth="1"/>
    <col min="516" max="516" width="2.42578125" style="130" customWidth="1"/>
    <col min="517" max="517" width="14.140625" style="130" customWidth="1"/>
    <col min="518" max="518" width="2" style="130" customWidth="1"/>
    <col min="519" max="519" width="41.140625" style="130" customWidth="1"/>
    <col min="520" max="520" width="41.5703125" style="130" customWidth="1"/>
    <col min="521" max="768" width="9.140625" style="130"/>
    <col min="769" max="769" width="5.85546875" style="130" customWidth="1"/>
    <col min="770" max="770" width="3.7109375" style="130" customWidth="1"/>
    <col min="771" max="771" width="39" style="130" customWidth="1"/>
    <col min="772" max="772" width="2.42578125" style="130" customWidth="1"/>
    <col min="773" max="773" width="14.140625" style="130" customWidth="1"/>
    <col min="774" max="774" width="2" style="130" customWidth="1"/>
    <col min="775" max="775" width="41.140625" style="130" customWidth="1"/>
    <col min="776" max="776" width="41.5703125" style="130" customWidth="1"/>
    <col min="777" max="1024" width="9.140625" style="130"/>
    <col min="1025" max="1025" width="5.85546875" style="130" customWidth="1"/>
    <col min="1026" max="1026" width="3.7109375" style="130" customWidth="1"/>
    <col min="1027" max="1027" width="39" style="130" customWidth="1"/>
    <col min="1028" max="1028" width="2.42578125" style="130" customWidth="1"/>
    <col min="1029" max="1029" width="14.140625" style="130" customWidth="1"/>
    <col min="1030" max="1030" width="2" style="130" customWidth="1"/>
    <col min="1031" max="1031" width="41.140625" style="130" customWidth="1"/>
    <col min="1032" max="1032" width="41.5703125" style="130" customWidth="1"/>
    <col min="1033" max="1280" width="9.140625" style="130"/>
    <col min="1281" max="1281" width="5.85546875" style="130" customWidth="1"/>
    <col min="1282" max="1282" width="3.7109375" style="130" customWidth="1"/>
    <col min="1283" max="1283" width="39" style="130" customWidth="1"/>
    <col min="1284" max="1284" width="2.42578125" style="130" customWidth="1"/>
    <col min="1285" max="1285" width="14.140625" style="130" customWidth="1"/>
    <col min="1286" max="1286" width="2" style="130" customWidth="1"/>
    <col min="1287" max="1287" width="41.140625" style="130" customWidth="1"/>
    <col min="1288" max="1288" width="41.5703125" style="130" customWidth="1"/>
    <col min="1289" max="1536" width="9.140625" style="130"/>
    <col min="1537" max="1537" width="5.85546875" style="130" customWidth="1"/>
    <col min="1538" max="1538" width="3.7109375" style="130" customWidth="1"/>
    <col min="1539" max="1539" width="39" style="130" customWidth="1"/>
    <col min="1540" max="1540" width="2.42578125" style="130" customWidth="1"/>
    <col min="1541" max="1541" width="14.140625" style="130" customWidth="1"/>
    <col min="1542" max="1542" width="2" style="130" customWidth="1"/>
    <col min="1543" max="1543" width="41.140625" style="130" customWidth="1"/>
    <col min="1544" max="1544" width="41.5703125" style="130" customWidth="1"/>
    <col min="1545" max="1792" width="9.140625" style="130"/>
    <col min="1793" max="1793" width="5.85546875" style="130" customWidth="1"/>
    <col min="1794" max="1794" width="3.7109375" style="130" customWidth="1"/>
    <col min="1795" max="1795" width="39" style="130" customWidth="1"/>
    <col min="1796" max="1796" width="2.42578125" style="130" customWidth="1"/>
    <col min="1797" max="1797" width="14.140625" style="130" customWidth="1"/>
    <col min="1798" max="1798" width="2" style="130" customWidth="1"/>
    <col min="1799" max="1799" width="41.140625" style="130" customWidth="1"/>
    <col min="1800" max="1800" width="41.5703125" style="130" customWidth="1"/>
    <col min="1801" max="2048" width="9.140625" style="130"/>
    <col min="2049" max="2049" width="5.85546875" style="130" customWidth="1"/>
    <col min="2050" max="2050" width="3.7109375" style="130" customWidth="1"/>
    <col min="2051" max="2051" width="39" style="130" customWidth="1"/>
    <col min="2052" max="2052" width="2.42578125" style="130" customWidth="1"/>
    <col min="2053" max="2053" width="14.140625" style="130" customWidth="1"/>
    <col min="2054" max="2054" width="2" style="130" customWidth="1"/>
    <col min="2055" max="2055" width="41.140625" style="130" customWidth="1"/>
    <col min="2056" max="2056" width="41.5703125" style="130" customWidth="1"/>
    <col min="2057" max="2304" width="9.140625" style="130"/>
    <col min="2305" max="2305" width="5.85546875" style="130" customWidth="1"/>
    <col min="2306" max="2306" width="3.7109375" style="130" customWidth="1"/>
    <col min="2307" max="2307" width="39" style="130" customWidth="1"/>
    <col min="2308" max="2308" width="2.42578125" style="130" customWidth="1"/>
    <col min="2309" max="2309" width="14.140625" style="130" customWidth="1"/>
    <col min="2310" max="2310" width="2" style="130" customWidth="1"/>
    <col min="2311" max="2311" width="41.140625" style="130" customWidth="1"/>
    <col min="2312" max="2312" width="41.5703125" style="130" customWidth="1"/>
    <col min="2313" max="2560" width="9.140625" style="130"/>
    <col min="2561" max="2561" width="5.85546875" style="130" customWidth="1"/>
    <col min="2562" max="2562" width="3.7109375" style="130" customWidth="1"/>
    <col min="2563" max="2563" width="39" style="130" customWidth="1"/>
    <col min="2564" max="2564" width="2.42578125" style="130" customWidth="1"/>
    <col min="2565" max="2565" width="14.140625" style="130" customWidth="1"/>
    <col min="2566" max="2566" width="2" style="130" customWidth="1"/>
    <col min="2567" max="2567" width="41.140625" style="130" customWidth="1"/>
    <col min="2568" max="2568" width="41.5703125" style="130" customWidth="1"/>
    <col min="2569" max="2816" width="9.140625" style="130"/>
    <col min="2817" max="2817" width="5.85546875" style="130" customWidth="1"/>
    <col min="2818" max="2818" width="3.7109375" style="130" customWidth="1"/>
    <col min="2819" max="2819" width="39" style="130" customWidth="1"/>
    <col min="2820" max="2820" width="2.42578125" style="130" customWidth="1"/>
    <col min="2821" max="2821" width="14.140625" style="130" customWidth="1"/>
    <col min="2822" max="2822" width="2" style="130" customWidth="1"/>
    <col min="2823" max="2823" width="41.140625" style="130" customWidth="1"/>
    <col min="2824" max="2824" width="41.5703125" style="130" customWidth="1"/>
    <col min="2825" max="3072" width="9.140625" style="130"/>
    <col min="3073" max="3073" width="5.85546875" style="130" customWidth="1"/>
    <col min="3074" max="3074" width="3.7109375" style="130" customWidth="1"/>
    <col min="3075" max="3075" width="39" style="130" customWidth="1"/>
    <col min="3076" max="3076" width="2.42578125" style="130" customWidth="1"/>
    <col min="3077" max="3077" width="14.140625" style="130" customWidth="1"/>
    <col min="3078" max="3078" width="2" style="130" customWidth="1"/>
    <col min="3079" max="3079" width="41.140625" style="130" customWidth="1"/>
    <col min="3080" max="3080" width="41.5703125" style="130" customWidth="1"/>
    <col min="3081" max="3328" width="9.140625" style="130"/>
    <col min="3329" max="3329" width="5.85546875" style="130" customWidth="1"/>
    <col min="3330" max="3330" width="3.7109375" style="130" customWidth="1"/>
    <col min="3331" max="3331" width="39" style="130" customWidth="1"/>
    <col min="3332" max="3332" width="2.42578125" style="130" customWidth="1"/>
    <col min="3333" max="3333" width="14.140625" style="130" customWidth="1"/>
    <col min="3334" max="3334" width="2" style="130" customWidth="1"/>
    <col min="3335" max="3335" width="41.140625" style="130" customWidth="1"/>
    <col min="3336" max="3336" width="41.5703125" style="130" customWidth="1"/>
    <col min="3337" max="3584" width="9.140625" style="130"/>
    <col min="3585" max="3585" width="5.85546875" style="130" customWidth="1"/>
    <col min="3586" max="3586" width="3.7109375" style="130" customWidth="1"/>
    <col min="3587" max="3587" width="39" style="130" customWidth="1"/>
    <col min="3588" max="3588" width="2.42578125" style="130" customWidth="1"/>
    <col min="3589" max="3589" width="14.140625" style="130" customWidth="1"/>
    <col min="3590" max="3590" width="2" style="130" customWidth="1"/>
    <col min="3591" max="3591" width="41.140625" style="130" customWidth="1"/>
    <col min="3592" max="3592" width="41.5703125" style="130" customWidth="1"/>
    <col min="3593" max="3840" width="9.140625" style="130"/>
    <col min="3841" max="3841" width="5.85546875" style="130" customWidth="1"/>
    <col min="3842" max="3842" width="3.7109375" style="130" customWidth="1"/>
    <col min="3843" max="3843" width="39" style="130" customWidth="1"/>
    <col min="3844" max="3844" width="2.42578125" style="130" customWidth="1"/>
    <col min="3845" max="3845" width="14.140625" style="130" customWidth="1"/>
    <col min="3846" max="3846" width="2" style="130" customWidth="1"/>
    <col min="3847" max="3847" width="41.140625" style="130" customWidth="1"/>
    <col min="3848" max="3848" width="41.5703125" style="130" customWidth="1"/>
    <col min="3849" max="4096" width="9.140625" style="130"/>
    <col min="4097" max="4097" width="5.85546875" style="130" customWidth="1"/>
    <col min="4098" max="4098" width="3.7109375" style="130" customWidth="1"/>
    <col min="4099" max="4099" width="39" style="130" customWidth="1"/>
    <col min="4100" max="4100" width="2.42578125" style="130" customWidth="1"/>
    <col min="4101" max="4101" width="14.140625" style="130" customWidth="1"/>
    <col min="4102" max="4102" width="2" style="130" customWidth="1"/>
    <col min="4103" max="4103" width="41.140625" style="130" customWidth="1"/>
    <col min="4104" max="4104" width="41.5703125" style="130" customWidth="1"/>
    <col min="4105" max="4352" width="9.140625" style="130"/>
    <col min="4353" max="4353" width="5.85546875" style="130" customWidth="1"/>
    <col min="4354" max="4354" width="3.7109375" style="130" customWidth="1"/>
    <col min="4355" max="4355" width="39" style="130" customWidth="1"/>
    <col min="4356" max="4356" width="2.42578125" style="130" customWidth="1"/>
    <col min="4357" max="4357" width="14.140625" style="130" customWidth="1"/>
    <col min="4358" max="4358" width="2" style="130" customWidth="1"/>
    <col min="4359" max="4359" width="41.140625" style="130" customWidth="1"/>
    <col min="4360" max="4360" width="41.5703125" style="130" customWidth="1"/>
    <col min="4361" max="4608" width="9.140625" style="130"/>
    <col min="4609" max="4609" width="5.85546875" style="130" customWidth="1"/>
    <col min="4610" max="4610" width="3.7109375" style="130" customWidth="1"/>
    <col min="4611" max="4611" width="39" style="130" customWidth="1"/>
    <col min="4612" max="4612" width="2.42578125" style="130" customWidth="1"/>
    <col min="4613" max="4613" width="14.140625" style="130" customWidth="1"/>
    <col min="4614" max="4614" width="2" style="130" customWidth="1"/>
    <col min="4615" max="4615" width="41.140625" style="130" customWidth="1"/>
    <col min="4616" max="4616" width="41.5703125" style="130" customWidth="1"/>
    <col min="4617" max="4864" width="9.140625" style="130"/>
    <col min="4865" max="4865" width="5.85546875" style="130" customWidth="1"/>
    <col min="4866" max="4866" width="3.7109375" style="130" customWidth="1"/>
    <col min="4867" max="4867" width="39" style="130" customWidth="1"/>
    <col min="4868" max="4868" width="2.42578125" style="130" customWidth="1"/>
    <col min="4869" max="4869" width="14.140625" style="130" customWidth="1"/>
    <col min="4870" max="4870" width="2" style="130" customWidth="1"/>
    <col min="4871" max="4871" width="41.140625" style="130" customWidth="1"/>
    <col min="4872" max="4872" width="41.5703125" style="130" customWidth="1"/>
    <col min="4873" max="5120" width="9.140625" style="130"/>
    <col min="5121" max="5121" width="5.85546875" style="130" customWidth="1"/>
    <col min="5122" max="5122" width="3.7109375" style="130" customWidth="1"/>
    <col min="5123" max="5123" width="39" style="130" customWidth="1"/>
    <col min="5124" max="5124" width="2.42578125" style="130" customWidth="1"/>
    <col min="5125" max="5125" width="14.140625" style="130" customWidth="1"/>
    <col min="5126" max="5126" width="2" style="130" customWidth="1"/>
    <col min="5127" max="5127" width="41.140625" style="130" customWidth="1"/>
    <col min="5128" max="5128" width="41.5703125" style="130" customWidth="1"/>
    <col min="5129" max="5376" width="9.140625" style="130"/>
    <col min="5377" max="5377" width="5.85546875" style="130" customWidth="1"/>
    <col min="5378" max="5378" width="3.7109375" style="130" customWidth="1"/>
    <col min="5379" max="5379" width="39" style="130" customWidth="1"/>
    <col min="5380" max="5380" width="2.42578125" style="130" customWidth="1"/>
    <col min="5381" max="5381" width="14.140625" style="130" customWidth="1"/>
    <col min="5382" max="5382" width="2" style="130" customWidth="1"/>
    <col min="5383" max="5383" width="41.140625" style="130" customWidth="1"/>
    <col min="5384" max="5384" width="41.5703125" style="130" customWidth="1"/>
    <col min="5385" max="5632" width="9.140625" style="130"/>
    <col min="5633" max="5633" width="5.85546875" style="130" customWidth="1"/>
    <col min="5634" max="5634" width="3.7109375" style="130" customWidth="1"/>
    <col min="5635" max="5635" width="39" style="130" customWidth="1"/>
    <col min="5636" max="5636" width="2.42578125" style="130" customWidth="1"/>
    <col min="5637" max="5637" width="14.140625" style="130" customWidth="1"/>
    <col min="5638" max="5638" width="2" style="130" customWidth="1"/>
    <col min="5639" max="5639" width="41.140625" style="130" customWidth="1"/>
    <col min="5640" max="5640" width="41.5703125" style="130" customWidth="1"/>
    <col min="5641" max="5888" width="9.140625" style="130"/>
    <col min="5889" max="5889" width="5.85546875" style="130" customWidth="1"/>
    <col min="5890" max="5890" width="3.7109375" style="130" customWidth="1"/>
    <col min="5891" max="5891" width="39" style="130" customWidth="1"/>
    <col min="5892" max="5892" width="2.42578125" style="130" customWidth="1"/>
    <col min="5893" max="5893" width="14.140625" style="130" customWidth="1"/>
    <col min="5894" max="5894" width="2" style="130" customWidth="1"/>
    <col min="5895" max="5895" width="41.140625" style="130" customWidth="1"/>
    <col min="5896" max="5896" width="41.5703125" style="130" customWidth="1"/>
    <col min="5897" max="6144" width="9.140625" style="130"/>
    <col min="6145" max="6145" width="5.85546875" style="130" customWidth="1"/>
    <col min="6146" max="6146" width="3.7109375" style="130" customWidth="1"/>
    <col min="6147" max="6147" width="39" style="130" customWidth="1"/>
    <col min="6148" max="6148" width="2.42578125" style="130" customWidth="1"/>
    <col min="6149" max="6149" width="14.140625" style="130" customWidth="1"/>
    <col min="6150" max="6150" width="2" style="130" customWidth="1"/>
    <col min="6151" max="6151" width="41.140625" style="130" customWidth="1"/>
    <col min="6152" max="6152" width="41.5703125" style="130" customWidth="1"/>
    <col min="6153" max="6400" width="9.140625" style="130"/>
    <col min="6401" max="6401" width="5.85546875" style="130" customWidth="1"/>
    <col min="6402" max="6402" width="3.7109375" style="130" customWidth="1"/>
    <col min="6403" max="6403" width="39" style="130" customWidth="1"/>
    <col min="6404" max="6404" width="2.42578125" style="130" customWidth="1"/>
    <col min="6405" max="6405" width="14.140625" style="130" customWidth="1"/>
    <col min="6406" max="6406" width="2" style="130" customWidth="1"/>
    <col min="6407" max="6407" width="41.140625" style="130" customWidth="1"/>
    <col min="6408" max="6408" width="41.5703125" style="130" customWidth="1"/>
    <col min="6409" max="6656" width="9.140625" style="130"/>
    <col min="6657" max="6657" width="5.85546875" style="130" customWidth="1"/>
    <col min="6658" max="6658" width="3.7109375" style="130" customWidth="1"/>
    <col min="6659" max="6659" width="39" style="130" customWidth="1"/>
    <col min="6660" max="6660" width="2.42578125" style="130" customWidth="1"/>
    <col min="6661" max="6661" width="14.140625" style="130" customWidth="1"/>
    <col min="6662" max="6662" width="2" style="130" customWidth="1"/>
    <col min="6663" max="6663" width="41.140625" style="130" customWidth="1"/>
    <col min="6664" max="6664" width="41.5703125" style="130" customWidth="1"/>
    <col min="6665" max="6912" width="9.140625" style="130"/>
    <col min="6913" max="6913" width="5.85546875" style="130" customWidth="1"/>
    <col min="6914" max="6914" width="3.7109375" style="130" customWidth="1"/>
    <col min="6915" max="6915" width="39" style="130" customWidth="1"/>
    <col min="6916" max="6916" width="2.42578125" style="130" customWidth="1"/>
    <col min="6917" max="6917" width="14.140625" style="130" customWidth="1"/>
    <col min="6918" max="6918" width="2" style="130" customWidth="1"/>
    <col min="6919" max="6919" width="41.140625" style="130" customWidth="1"/>
    <col min="6920" max="6920" width="41.5703125" style="130" customWidth="1"/>
    <col min="6921" max="7168" width="9.140625" style="130"/>
    <col min="7169" max="7169" width="5.85546875" style="130" customWidth="1"/>
    <col min="7170" max="7170" width="3.7109375" style="130" customWidth="1"/>
    <col min="7171" max="7171" width="39" style="130" customWidth="1"/>
    <col min="7172" max="7172" width="2.42578125" style="130" customWidth="1"/>
    <col min="7173" max="7173" width="14.140625" style="130" customWidth="1"/>
    <col min="7174" max="7174" width="2" style="130" customWidth="1"/>
    <col min="7175" max="7175" width="41.140625" style="130" customWidth="1"/>
    <col min="7176" max="7176" width="41.5703125" style="130" customWidth="1"/>
    <col min="7177" max="7424" width="9.140625" style="130"/>
    <col min="7425" max="7425" width="5.85546875" style="130" customWidth="1"/>
    <col min="7426" max="7426" width="3.7109375" style="130" customWidth="1"/>
    <col min="7427" max="7427" width="39" style="130" customWidth="1"/>
    <col min="7428" max="7428" width="2.42578125" style="130" customWidth="1"/>
    <col min="7429" max="7429" width="14.140625" style="130" customWidth="1"/>
    <col min="7430" max="7430" width="2" style="130" customWidth="1"/>
    <col min="7431" max="7431" width="41.140625" style="130" customWidth="1"/>
    <col min="7432" max="7432" width="41.5703125" style="130" customWidth="1"/>
    <col min="7433" max="7680" width="9.140625" style="130"/>
    <col min="7681" max="7681" width="5.85546875" style="130" customWidth="1"/>
    <col min="7682" max="7682" width="3.7109375" style="130" customWidth="1"/>
    <col min="7683" max="7683" width="39" style="130" customWidth="1"/>
    <col min="7684" max="7684" width="2.42578125" style="130" customWidth="1"/>
    <col min="7685" max="7685" width="14.140625" style="130" customWidth="1"/>
    <col min="7686" max="7686" width="2" style="130" customWidth="1"/>
    <col min="7687" max="7687" width="41.140625" style="130" customWidth="1"/>
    <col min="7688" max="7688" width="41.5703125" style="130" customWidth="1"/>
    <col min="7689" max="7936" width="9.140625" style="130"/>
    <col min="7937" max="7937" width="5.85546875" style="130" customWidth="1"/>
    <col min="7938" max="7938" width="3.7109375" style="130" customWidth="1"/>
    <col min="7939" max="7939" width="39" style="130" customWidth="1"/>
    <col min="7940" max="7940" width="2.42578125" style="130" customWidth="1"/>
    <col min="7941" max="7941" width="14.140625" style="130" customWidth="1"/>
    <col min="7942" max="7942" width="2" style="130" customWidth="1"/>
    <col min="7943" max="7943" width="41.140625" style="130" customWidth="1"/>
    <col min="7944" max="7944" width="41.5703125" style="130" customWidth="1"/>
    <col min="7945" max="8192" width="9.140625" style="130"/>
    <col min="8193" max="8193" width="5.85546875" style="130" customWidth="1"/>
    <col min="8194" max="8194" width="3.7109375" style="130" customWidth="1"/>
    <col min="8195" max="8195" width="39" style="130" customWidth="1"/>
    <col min="8196" max="8196" width="2.42578125" style="130" customWidth="1"/>
    <col min="8197" max="8197" width="14.140625" style="130" customWidth="1"/>
    <col min="8198" max="8198" width="2" style="130" customWidth="1"/>
    <col min="8199" max="8199" width="41.140625" style="130" customWidth="1"/>
    <col min="8200" max="8200" width="41.5703125" style="130" customWidth="1"/>
    <col min="8201" max="8448" width="9.140625" style="130"/>
    <col min="8449" max="8449" width="5.85546875" style="130" customWidth="1"/>
    <col min="8450" max="8450" width="3.7109375" style="130" customWidth="1"/>
    <col min="8451" max="8451" width="39" style="130" customWidth="1"/>
    <col min="8452" max="8452" width="2.42578125" style="130" customWidth="1"/>
    <col min="8453" max="8453" width="14.140625" style="130" customWidth="1"/>
    <col min="8454" max="8454" width="2" style="130" customWidth="1"/>
    <col min="8455" max="8455" width="41.140625" style="130" customWidth="1"/>
    <col min="8456" max="8456" width="41.5703125" style="130" customWidth="1"/>
    <col min="8457" max="8704" width="9.140625" style="130"/>
    <col min="8705" max="8705" width="5.85546875" style="130" customWidth="1"/>
    <col min="8706" max="8706" width="3.7109375" style="130" customWidth="1"/>
    <col min="8707" max="8707" width="39" style="130" customWidth="1"/>
    <col min="8708" max="8708" width="2.42578125" style="130" customWidth="1"/>
    <col min="8709" max="8709" width="14.140625" style="130" customWidth="1"/>
    <col min="8710" max="8710" width="2" style="130" customWidth="1"/>
    <col min="8711" max="8711" width="41.140625" style="130" customWidth="1"/>
    <col min="8712" max="8712" width="41.5703125" style="130" customWidth="1"/>
    <col min="8713" max="8960" width="9.140625" style="130"/>
    <col min="8961" max="8961" width="5.85546875" style="130" customWidth="1"/>
    <col min="8962" max="8962" width="3.7109375" style="130" customWidth="1"/>
    <col min="8963" max="8963" width="39" style="130" customWidth="1"/>
    <col min="8964" max="8964" width="2.42578125" style="130" customWidth="1"/>
    <col min="8965" max="8965" width="14.140625" style="130" customWidth="1"/>
    <col min="8966" max="8966" width="2" style="130" customWidth="1"/>
    <col min="8967" max="8967" width="41.140625" style="130" customWidth="1"/>
    <col min="8968" max="8968" width="41.5703125" style="130" customWidth="1"/>
    <col min="8969" max="9216" width="9.140625" style="130"/>
    <col min="9217" max="9217" width="5.85546875" style="130" customWidth="1"/>
    <col min="9218" max="9218" width="3.7109375" style="130" customWidth="1"/>
    <col min="9219" max="9219" width="39" style="130" customWidth="1"/>
    <col min="9220" max="9220" width="2.42578125" style="130" customWidth="1"/>
    <col min="9221" max="9221" width="14.140625" style="130" customWidth="1"/>
    <col min="9222" max="9222" width="2" style="130" customWidth="1"/>
    <col min="9223" max="9223" width="41.140625" style="130" customWidth="1"/>
    <col min="9224" max="9224" width="41.5703125" style="130" customWidth="1"/>
    <col min="9225" max="9472" width="9.140625" style="130"/>
    <col min="9473" max="9473" width="5.85546875" style="130" customWidth="1"/>
    <col min="9474" max="9474" width="3.7109375" style="130" customWidth="1"/>
    <col min="9475" max="9475" width="39" style="130" customWidth="1"/>
    <col min="9476" max="9476" width="2.42578125" style="130" customWidth="1"/>
    <col min="9477" max="9477" width="14.140625" style="130" customWidth="1"/>
    <col min="9478" max="9478" width="2" style="130" customWidth="1"/>
    <col min="9479" max="9479" width="41.140625" style="130" customWidth="1"/>
    <col min="9480" max="9480" width="41.5703125" style="130" customWidth="1"/>
    <col min="9481" max="9728" width="9.140625" style="130"/>
    <col min="9729" max="9729" width="5.85546875" style="130" customWidth="1"/>
    <col min="9730" max="9730" width="3.7109375" style="130" customWidth="1"/>
    <col min="9731" max="9731" width="39" style="130" customWidth="1"/>
    <col min="9732" max="9732" width="2.42578125" style="130" customWidth="1"/>
    <col min="9733" max="9733" width="14.140625" style="130" customWidth="1"/>
    <col min="9734" max="9734" width="2" style="130" customWidth="1"/>
    <col min="9735" max="9735" width="41.140625" style="130" customWidth="1"/>
    <col min="9736" max="9736" width="41.5703125" style="130" customWidth="1"/>
    <col min="9737" max="9984" width="9.140625" style="130"/>
    <col min="9985" max="9985" width="5.85546875" style="130" customWidth="1"/>
    <col min="9986" max="9986" width="3.7109375" style="130" customWidth="1"/>
    <col min="9987" max="9987" width="39" style="130" customWidth="1"/>
    <col min="9988" max="9988" width="2.42578125" style="130" customWidth="1"/>
    <col min="9989" max="9989" width="14.140625" style="130" customWidth="1"/>
    <col min="9990" max="9990" width="2" style="130" customWidth="1"/>
    <col min="9991" max="9991" width="41.140625" style="130" customWidth="1"/>
    <col min="9992" max="9992" width="41.5703125" style="130" customWidth="1"/>
    <col min="9993" max="10240" width="9.140625" style="130"/>
    <col min="10241" max="10241" width="5.85546875" style="130" customWidth="1"/>
    <col min="10242" max="10242" width="3.7109375" style="130" customWidth="1"/>
    <col min="10243" max="10243" width="39" style="130" customWidth="1"/>
    <col min="10244" max="10244" width="2.42578125" style="130" customWidth="1"/>
    <col min="10245" max="10245" width="14.140625" style="130" customWidth="1"/>
    <col min="10246" max="10246" width="2" style="130" customWidth="1"/>
    <col min="10247" max="10247" width="41.140625" style="130" customWidth="1"/>
    <col min="10248" max="10248" width="41.5703125" style="130" customWidth="1"/>
    <col min="10249" max="10496" width="9.140625" style="130"/>
    <col min="10497" max="10497" width="5.85546875" style="130" customWidth="1"/>
    <col min="10498" max="10498" width="3.7109375" style="130" customWidth="1"/>
    <col min="10499" max="10499" width="39" style="130" customWidth="1"/>
    <col min="10500" max="10500" width="2.42578125" style="130" customWidth="1"/>
    <col min="10501" max="10501" width="14.140625" style="130" customWidth="1"/>
    <col min="10502" max="10502" width="2" style="130" customWidth="1"/>
    <col min="10503" max="10503" width="41.140625" style="130" customWidth="1"/>
    <col min="10504" max="10504" width="41.5703125" style="130" customWidth="1"/>
    <col min="10505" max="10752" width="9.140625" style="130"/>
    <col min="10753" max="10753" width="5.85546875" style="130" customWidth="1"/>
    <col min="10754" max="10754" width="3.7109375" style="130" customWidth="1"/>
    <col min="10755" max="10755" width="39" style="130" customWidth="1"/>
    <col min="10756" max="10756" width="2.42578125" style="130" customWidth="1"/>
    <col min="10757" max="10757" width="14.140625" style="130" customWidth="1"/>
    <col min="10758" max="10758" width="2" style="130" customWidth="1"/>
    <col min="10759" max="10759" width="41.140625" style="130" customWidth="1"/>
    <col min="10760" max="10760" width="41.5703125" style="130" customWidth="1"/>
    <col min="10761" max="11008" width="9.140625" style="130"/>
    <col min="11009" max="11009" width="5.85546875" style="130" customWidth="1"/>
    <col min="11010" max="11010" width="3.7109375" style="130" customWidth="1"/>
    <col min="11011" max="11011" width="39" style="130" customWidth="1"/>
    <col min="11012" max="11012" width="2.42578125" style="130" customWidth="1"/>
    <col min="11013" max="11013" width="14.140625" style="130" customWidth="1"/>
    <col min="11014" max="11014" width="2" style="130" customWidth="1"/>
    <col min="11015" max="11015" width="41.140625" style="130" customWidth="1"/>
    <col min="11016" max="11016" width="41.5703125" style="130" customWidth="1"/>
    <col min="11017" max="11264" width="9.140625" style="130"/>
    <col min="11265" max="11265" width="5.85546875" style="130" customWidth="1"/>
    <col min="11266" max="11266" width="3.7109375" style="130" customWidth="1"/>
    <col min="11267" max="11267" width="39" style="130" customWidth="1"/>
    <col min="11268" max="11268" width="2.42578125" style="130" customWidth="1"/>
    <col min="11269" max="11269" width="14.140625" style="130" customWidth="1"/>
    <col min="11270" max="11270" width="2" style="130" customWidth="1"/>
    <col min="11271" max="11271" width="41.140625" style="130" customWidth="1"/>
    <col min="11272" max="11272" width="41.5703125" style="130" customWidth="1"/>
    <col min="11273" max="11520" width="9.140625" style="130"/>
    <col min="11521" max="11521" width="5.85546875" style="130" customWidth="1"/>
    <col min="11522" max="11522" width="3.7109375" style="130" customWidth="1"/>
    <col min="11523" max="11523" width="39" style="130" customWidth="1"/>
    <col min="11524" max="11524" width="2.42578125" style="130" customWidth="1"/>
    <col min="11525" max="11525" width="14.140625" style="130" customWidth="1"/>
    <col min="11526" max="11526" width="2" style="130" customWidth="1"/>
    <col min="11527" max="11527" width="41.140625" style="130" customWidth="1"/>
    <col min="11528" max="11528" width="41.5703125" style="130" customWidth="1"/>
    <col min="11529" max="11776" width="9.140625" style="130"/>
    <col min="11777" max="11777" width="5.85546875" style="130" customWidth="1"/>
    <col min="11778" max="11778" width="3.7109375" style="130" customWidth="1"/>
    <col min="11779" max="11779" width="39" style="130" customWidth="1"/>
    <col min="11780" max="11780" width="2.42578125" style="130" customWidth="1"/>
    <col min="11781" max="11781" width="14.140625" style="130" customWidth="1"/>
    <col min="11782" max="11782" width="2" style="130" customWidth="1"/>
    <col min="11783" max="11783" width="41.140625" style="130" customWidth="1"/>
    <col min="11784" max="11784" width="41.5703125" style="130" customWidth="1"/>
    <col min="11785" max="12032" width="9.140625" style="130"/>
    <col min="12033" max="12033" width="5.85546875" style="130" customWidth="1"/>
    <col min="12034" max="12034" width="3.7109375" style="130" customWidth="1"/>
    <col min="12035" max="12035" width="39" style="130" customWidth="1"/>
    <col min="12036" max="12036" width="2.42578125" style="130" customWidth="1"/>
    <col min="12037" max="12037" width="14.140625" style="130" customWidth="1"/>
    <col min="12038" max="12038" width="2" style="130" customWidth="1"/>
    <col min="12039" max="12039" width="41.140625" style="130" customWidth="1"/>
    <col min="12040" max="12040" width="41.5703125" style="130" customWidth="1"/>
    <col min="12041" max="12288" width="9.140625" style="130"/>
    <col min="12289" max="12289" width="5.85546875" style="130" customWidth="1"/>
    <col min="12290" max="12290" width="3.7109375" style="130" customWidth="1"/>
    <col min="12291" max="12291" width="39" style="130" customWidth="1"/>
    <col min="12292" max="12292" width="2.42578125" style="130" customWidth="1"/>
    <col min="12293" max="12293" width="14.140625" style="130" customWidth="1"/>
    <col min="12294" max="12294" width="2" style="130" customWidth="1"/>
    <col min="12295" max="12295" width="41.140625" style="130" customWidth="1"/>
    <col min="12296" max="12296" width="41.5703125" style="130" customWidth="1"/>
    <col min="12297" max="12544" width="9.140625" style="130"/>
    <col min="12545" max="12545" width="5.85546875" style="130" customWidth="1"/>
    <col min="12546" max="12546" width="3.7109375" style="130" customWidth="1"/>
    <col min="12547" max="12547" width="39" style="130" customWidth="1"/>
    <col min="12548" max="12548" width="2.42578125" style="130" customWidth="1"/>
    <col min="12549" max="12549" width="14.140625" style="130" customWidth="1"/>
    <col min="12550" max="12550" width="2" style="130" customWidth="1"/>
    <col min="12551" max="12551" width="41.140625" style="130" customWidth="1"/>
    <col min="12552" max="12552" width="41.5703125" style="130" customWidth="1"/>
    <col min="12553" max="12800" width="9.140625" style="130"/>
    <col min="12801" max="12801" width="5.85546875" style="130" customWidth="1"/>
    <col min="12802" max="12802" width="3.7109375" style="130" customWidth="1"/>
    <col min="12803" max="12803" width="39" style="130" customWidth="1"/>
    <col min="12804" max="12804" width="2.42578125" style="130" customWidth="1"/>
    <col min="12805" max="12805" width="14.140625" style="130" customWidth="1"/>
    <col min="12806" max="12806" width="2" style="130" customWidth="1"/>
    <col min="12807" max="12807" width="41.140625" style="130" customWidth="1"/>
    <col min="12808" max="12808" width="41.5703125" style="130" customWidth="1"/>
    <col min="12809" max="13056" width="9.140625" style="130"/>
    <col min="13057" max="13057" width="5.85546875" style="130" customWidth="1"/>
    <col min="13058" max="13058" width="3.7109375" style="130" customWidth="1"/>
    <col min="13059" max="13059" width="39" style="130" customWidth="1"/>
    <col min="13060" max="13060" width="2.42578125" style="130" customWidth="1"/>
    <col min="13061" max="13061" width="14.140625" style="130" customWidth="1"/>
    <col min="13062" max="13062" width="2" style="130" customWidth="1"/>
    <col min="13063" max="13063" width="41.140625" style="130" customWidth="1"/>
    <col min="13064" max="13064" width="41.5703125" style="130" customWidth="1"/>
    <col min="13065" max="13312" width="9.140625" style="130"/>
    <col min="13313" max="13313" width="5.85546875" style="130" customWidth="1"/>
    <col min="13314" max="13314" width="3.7109375" style="130" customWidth="1"/>
    <col min="13315" max="13315" width="39" style="130" customWidth="1"/>
    <col min="13316" max="13316" width="2.42578125" style="130" customWidth="1"/>
    <col min="13317" max="13317" width="14.140625" style="130" customWidth="1"/>
    <col min="13318" max="13318" width="2" style="130" customWidth="1"/>
    <col min="13319" max="13319" width="41.140625" style="130" customWidth="1"/>
    <col min="13320" max="13320" width="41.5703125" style="130" customWidth="1"/>
    <col min="13321" max="13568" width="9.140625" style="130"/>
    <col min="13569" max="13569" width="5.85546875" style="130" customWidth="1"/>
    <col min="13570" max="13570" width="3.7109375" style="130" customWidth="1"/>
    <col min="13571" max="13571" width="39" style="130" customWidth="1"/>
    <col min="13572" max="13572" width="2.42578125" style="130" customWidth="1"/>
    <col min="13573" max="13573" width="14.140625" style="130" customWidth="1"/>
    <col min="13574" max="13574" width="2" style="130" customWidth="1"/>
    <col min="13575" max="13575" width="41.140625" style="130" customWidth="1"/>
    <col min="13576" max="13576" width="41.5703125" style="130" customWidth="1"/>
    <col min="13577" max="13824" width="9.140625" style="130"/>
    <col min="13825" max="13825" width="5.85546875" style="130" customWidth="1"/>
    <col min="13826" max="13826" width="3.7109375" style="130" customWidth="1"/>
    <col min="13827" max="13827" width="39" style="130" customWidth="1"/>
    <col min="13828" max="13828" width="2.42578125" style="130" customWidth="1"/>
    <col min="13829" max="13829" width="14.140625" style="130" customWidth="1"/>
    <col min="13830" max="13830" width="2" style="130" customWidth="1"/>
    <col min="13831" max="13831" width="41.140625" style="130" customWidth="1"/>
    <col min="13832" max="13832" width="41.5703125" style="130" customWidth="1"/>
    <col min="13833" max="14080" width="9.140625" style="130"/>
    <col min="14081" max="14081" width="5.85546875" style="130" customWidth="1"/>
    <col min="14082" max="14082" width="3.7109375" style="130" customWidth="1"/>
    <col min="14083" max="14083" width="39" style="130" customWidth="1"/>
    <col min="14084" max="14084" width="2.42578125" style="130" customWidth="1"/>
    <col min="14085" max="14085" width="14.140625" style="130" customWidth="1"/>
    <col min="14086" max="14086" width="2" style="130" customWidth="1"/>
    <col min="14087" max="14087" width="41.140625" style="130" customWidth="1"/>
    <col min="14088" max="14088" width="41.5703125" style="130" customWidth="1"/>
    <col min="14089" max="14336" width="9.140625" style="130"/>
    <col min="14337" max="14337" width="5.85546875" style="130" customWidth="1"/>
    <col min="14338" max="14338" width="3.7109375" style="130" customWidth="1"/>
    <col min="14339" max="14339" width="39" style="130" customWidth="1"/>
    <col min="14340" max="14340" width="2.42578125" style="130" customWidth="1"/>
    <col min="14341" max="14341" width="14.140625" style="130" customWidth="1"/>
    <col min="14342" max="14342" width="2" style="130" customWidth="1"/>
    <col min="14343" max="14343" width="41.140625" style="130" customWidth="1"/>
    <col min="14344" max="14344" width="41.5703125" style="130" customWidth="1"/>
    <col min="14345" max="14592" width="9.140625" style="130"/>
    <col min="14593" max="14593" width="5.85546875" style="130" customWidth="1"/>
    <col min="14594" max="14594" width="3.7109375" style="130" customWidth="1"/>
    <col min="14595" max="14595" width="39" style="130" customWidth="1"/>
    <col min="14596" max="14596" width="2.42578125" style="130" customWidth="1"/>
    <col min="14597" max="14597" width="14.140625" style="130" customWidth="1"/>
    <col min="14598" max="14598" width="2" style="130" customWidth="1"/>
    <col min="14599" max="14599" width="41.140625" style="130" customWidth="1"/>
    <col min="14600" max="14600" width="41.5703125" style="130" customWidth="1"/>
    <col min="14601" max="14848" width="9.140625" style="130"/>
    <col min="14849" max="14849" width="5.85546875" style="130" customWidth="1"/>
    <col min="14850" max="14850" width="3.7109375" style="130" customWidth="1"/>
    <col min="14851" max="14851" width="39" style="130" customWidth="1"/>
    <col min="14852" max="14852" width="2.42578125" style="130" customWidth="1"/>
    <col min="14853" max="14853" width="14.140625" style="130" customWidth="1"/>
    <col min="14854" max="14854" width="2" style="130" customWidth="1"/>
    <col min="14855" max="14855" width="41.140625" style="130" customWidth="1"/>
    <col min="14856" max="14856" width="41.5703125" style="130" customWidth="1"/>
    <col min="14857" max="15104" width="9.140625" style="130"/>
    <col min="15105" max="15105" width="5.85546875" style="130" customWidth="1"/>
    <col min="15106" max="15106" width="3.7109375" style="130" customWidth="1"/>
    <col min="15107" max="15107" width="39" style="130" customWidth="1"/>
    <col min="15108" max="15108" width="2.42578125" style="130" customWidth="1"/>
    <col min="15109" max="15109" width="14.140625" style="130" customWidth="1"/>
    <col min="15110" max="15110" width="2" style="130" customWidth="1"/>
    <col min="15111" max="15111" width="41.140625" style="130" customWidth="1"/>
    <col min="15112" max="15112" width="41.5703125" style="130" customWidth="1"/>
    <col min="15113" max="15360" width="9.140625" style="130"/>
    <col min="15361" max="15361" width="5.85546875" style="130" customWidth="1"/>
    <col min="15362" max="15362" width="3.7109375" style="130" customWidth="1"/>
    <col min="15363" max="15363" width="39" style="130" customWidth="1"/>
    <col min="15364" max="15364" width="2.42578125" style="130" customWidth="1"/>
    <col min="15365" max="15365" width="14.140625" style="130" customWidth="1"/>
    <col min="15366" max="15366" width="2" style="130" customWidth="1"/>
    <col min="15367" max="15367" width="41.140625" style="130" customWidth="1"/>
    <col min="15368" max="15368" width="41.5703125" style="130" customWidth="1"/>
    <col min="15369" max="15616" width="9.140625" style="130"/>
    <col min="15617" max="15617" width="5.85546875" style="130" customWidth="1"/>
    <col min="15618" max="15618" width="3.7109375" style="130" customWidth="1"/>
    <col min="15619" max="15619" width="39" style="130" customWidth="1"/>
    <col min="15620" max="15620" width="2.42578125" style="130" customWidth="1"/>
    <col min="15621" max="15621" width="14.140625" style="130" customWidth="1"/>
    <col min="15622" max="15622" width="2" style="130" customWidth="1"/>
    <col min="15623" max="15623" width="41.140625" style="130" customWidth="1"/>
    <col min="15624" max="15624" width="41.5703125" style="130" customWidth="1"/>
    <col min="15625" max="15872" width="9.140625" style="130"/>
    <col min="15873" max="15873" width="5.85546875" style="130" customWidth="1"/>
    <col min="15874" max="15874" width="3.7109375" style="130" customWidth="1"/>
    <col min="15875" max="15875" width="39" style="130" customWidth="1"/>
    <col min="15876" max="15876" width="2.42578125" style="130" customWidth="1"/>
    <col min="15877" max="15877" width="14.140625" style="130" customWidth="1"/>
    <col min="15878" max="15878" width="2" style="130" customWidth="1"/>
    <col min="15879" max="15879" width="41.140625" style="130" customWidth="1"/>
    <col min="15880" max="15880" width="41.5703125" style="130" customWidth="1"/>
    <col min="15881" max="16128" width="9.140625" style="130"/>
    <col min="16129" max="16129" width="5.85546875" style="130" customWidth="1"/>
    <col min="16130" max="16130" width="3.7109375" style="130" customWidth="1"/>
    <col min="16131" max="16131" width="39" style="130" customWidth="1"/>
    <col min="16132" max="16132" width="2.42578125" style="130" customWidth="1"/>
    <col min="16133" max="16133" width="14.140625" style="130" customWidth="1"/>
    <col min="16134" max="16134" width="2" style="130" customWidth="1"/>
    <col min="16135" max="16135" width="41.140625" style="130" customWidth="1"/>
    <col min="16136" max="16136" width="41.5703125" style="130" customWidth="1"/>
    <col min="16137" max="16384" width="9.140625" style="130"/>
  </cols>
  <sheetData>
    <row r="1" spans="1:8" ht="15" customHeight="1" x14ac:dyDescent="0.2">
      <c r="A1" s="187" t="s">
        <v>0</v>
      </c>
      <c r="B1" s="187"/>
      <c r="C1" s="187"/>
      <c r="D1" s="187"/>
      <c r="E1" s="187"/>
      <c r="F1" s="187"/>
      <c r="G1" s="187"/>
    </row>
    <row r="2" spans="1:8" ht="15" customHeight="1" x14ac:dyDescent="0.2">
      <c r="A2" s="187" t="s">
        <v>1</v>
      </c>
      <c r="B2" s="187"/>
      <c r="C2" s="187"/>
      <c r="D2" s="187"/>
      <c r="E2" s="187"/>
      <c r="F2" s="187"/>
      <c r="G2" s="187"/>
    </row>
    <row r="3" spans="1:8" x14ac:dyDescent="0.2">
      <c r="A3" s="187" t="s">
        <v>2</v>
      </c>
      <c r="B3" s="187"/>
      <c r="C3" s="187"/>
      <c r="D3" s="187"/>
      <c r="E3" s="187"/>
      <c r="F3" s="187"/>
      <c r="G3" s="187"/>
    </row>
    <row r="4" spans="1:8" x14ac:dyDescent="0.2">
      <c r="A4" s="19"/>
      <c r="B4" s="19"/>
      <c r="C4" s="19"/>
      <c r="D4" s="19"/>
      <c r="E4" s="19"/>
      <c r="F4" s="19"/>
      <c r="G4" s="19"/>
    </row>
    <row r="5" spans="1:8" x14ac:dyDescent="0.2">
      <c r="A5" s="187" t="s">
        <v>104</v>
      </c>
      <c r="B5" s="187"/>
      <c r="C5" s="187"/>
      <c r="D5" s="187"/>
      <c r="E5" s="187"/>
      <c r="F5" s="187"/>
      <c r="G5" s="187"/>
    </row>
    <row r="6" spans="1:8" ht="15" customHeight="1" x14ac:dyDescent="0.2">
      <c r="A6" s="187" t="s">
        <v>264</v>
      </c>
      <c r="B6" s="187"/>
      <c r="C6" s="187"/>
      <c r="D6" s="187"/>
      <c r="E6" s="187"/>
      <c r="F6" s="187"/>
      <c r="G6" s="187"/>
    </row>
    <row r="7" spans="1:8" x14ac:dyDescent="0.2">
      <c r="A7" s="169"/>
      <c r="B7" s="169"/>
      <c r="C7" s="169"/>
      <c r="D7" s="169"/>
      <c r="E7" s="169"/>
      <c r="F7" s="19"/>
      <c r="G7" s="19"/>
    </row>
    <row r="8" spans="1:8" x14ac:dyDescent="0.2">
      <c r="A8" s="169"/>
      <c r="B8" s="169"/>
      <c r="C8" s="169"/>
      <c r="D8" s="169"/>
      <c r="E8" s="169"/>
      <c r="F8" s="19"/>
      <c r="G8" s="19"/>
    </row>
    <row r="9" spans="1:8" x14ac:dyDescent="0.2">
      <c r="A9" s="20" t="s">
        <v>105</v>
      </c>
      <c r="B9" s="20"/>
      <c r="C9" s="20"/>
      <c r="D9" s="21"/>
      <c r="E9" s="19"/>
      <c r="F9" s="19"/>
      <c r="G9" s="21">
        <v>2331202.9500000002</v>
      </c>
    </row>
    <row r="10" spans="1:8" x14ac:dyDescent="0.2">
      <c r="A10" s="19"/>
      <c r="B10" s="19"/>
      <c r="C10" s="19"/>
      <c r="D10" s="19"/>
      <c r="E10" s="19"/>
      <c r="F10" s="19"/>
      <c r="G10" s="22"/>
    </row>
    <row r="11" spans="1:8" x14ac:dyDescent="0.2">
      <c r="A11" s="20" t="s">
        <v>106</v>
      </c>
      <c r="B11" s="20" t="s">
        <v>60</v>
      </c>
      <c r="C11" s="20"/>
      <c r="D11" s="19"/>
      <c r="E11" s="19"/>
      <c r="F11" s="19"/>
      <c r="G11" s="19"/>
    </row>
    <row r="12" spans="1:8" s="131" customFormat="1" ht="15" x14ac:dyDescent="0.25">
      <c r="A12" s="20" t="s">
        <v>107</v>
      </c>
      <c r="B12" s="20" t="s">
        <v>108</v>
      </c>
      <c r="C12" s="20"/>
      <c r="D12" s="20"/>
      <c r="E12" s="20"/>
      <c r="F12" s="20"/>
      <c r="G12" s="20"/>
    </row>
    <row r="13" spans="1:8" x14ac:dyDescent="0.2">
      <c r="A13" s="19"/>
      <c r="B13" s="19" t="s">
        <v>109</v>
      </c>
      <c r="C13" s="20" t="s">
        <v>110</v>
      </c>
      <c r="D13" s="19"/>
      <c r="E13" s="22"/>
      <c r="F13" s="19"/>
      <c r="G13" s="19"/>
    </row>
    <row r="14" spans="1:8" x14ac:dyDescent="0.2">
      <c r="A14" s="19"/>
      <c r="B14" s="19"/>
      <c r="C14" s="19" t="s">
        <v>111</v>
      </c>
      <c r="D14" s="19"/>
      <c r="E14" s="23">
        <v>1960</v>
      </c>
      <c r="F14" s="19"/>
      <c r="G14" s="19"/>
    </row>
    <row r="15" spans="1:8" x14ac:dyDescent="0.2">
      <c r="A15" s="19"/>
      <c r="B15" s="19"/>
      <c r="C15" s="19" t="s">
        <v>232</v>
      </c>
      <c r="D15" s="19"/>
      <c r="E15" s="23">
        <v>82.5</v>
      </c>
      <c r="F15" s="19"/>
      <c r="G15" s="19"/>
    </row>
    <row r="16" spans="1:8" x14ac:dyDescent="0.2">
      <c r="A16" s="19"/>
      <c r="B16" s="19"/>
      <c r="C16" s="19" t="s">
        <v>390</v>
      </c>
      <c r="D16" s="19"/>
      <c r="E16" s="23">
        <v>105</v>
      </c>
      <c r="F16" s="19"/>
      <c r="G16" s="24"/>
      <c r="H16" s="132"/>
    </row>
    <row r="17" spans="1:7" hidden="1" x14ac:dyDescent="0.2">
      <c r="A17" s="19"/>
      <c r="B17" s="19"/>
      <c r="C17" s="19" t="s">
        <v>112</v>
      </c>
      <c r="D17" s="19"/>
      <c r="E17" s="23"/>
      <c r="F17" s="19"/>
      <c r="G17" s="19"/>
    </row>
    <row r="18" spans="1:7" x14ac:dyDescent="0.2">
      <c r="A18" s="19"/>
      <c r="B18" s="19"/>
      <c r="C18" s="19" t="s">
        <v>234</v>
      </c>
      <c r="D18" s="19"/>
      <c r="E18" s="23">
        <v>50</v>
      </c>
      <c r="F18" s="19"/>
      <c r="G18" s="19"/>
    </row>
    <row r="19" spans="1:7" x14ac:dyDescent="0.2">
      <c r="A19" s="19"/>
      <c r="B19" s="19"/>
      <c r="C19" s="19" t="s">
        <v>395</v>
      </c>
      <c r="D19" s="19"/>
      <c r="E19" s="23">
        <v>2810</v>
      </c>
      <c r="F19" s="19"/>
      <c r="G19" s="19"/>
    </row>
    <row r="20" spans="1:7" x14ac:dyDescent="0.2">
      <c r="A20" s="19"/>
      <c r="B20" s="19"/>
      <c r="C20" s="19" t="s">
        <v>396</v>
      </c>
      <c r="D20" s="19"/>
      <c r="E20" s="23">
        <v>54000</v>
      </c>
      <c r="F20" s="19"/>
      <c r="G20" s="19"/>
    </row>
    <row r="21" spans="1:7" ht="15" thickBot="1" x14ac:dyDescent="0.25">
      <c r="A21" s="19"/>
      <c r="B21" s="19"/>
      <c r="C21" s="19" t="s">
        <v>397</v>
      </c>
      <c r="D21" s="19"/>
      <c r="E21" s="23">
        <v>37147.5</v>
      </c>
      <c r="F21" s="19"/>
      <c r="G21" s="19"/>
    </row>
    <row r="22" spans="1:7" ht="15" hidden="1" thickBot="1" x14ac:dyDescent="0.25">
      <c r="A22" s="19"/>
      <c r="B22" s="19"/>
      <c r="C22" s="19" t="s">
        <v>115</v>
      </c>
      <c r="D22" s="19"/>
      <c r="E22" s="23"/>
      <c r="F22" s="19"/>
      <c r="G22" s="19"/>
    </row>
    <row r="23" spans="1:7" x14ac:dyDescent="0.2">
      <c r="A23" s="19"/>
      <c r="B23" s="19"/>
      <c r="C23" s="25" t="s">
        <v>116</v>
      </c>
      <c r="D23" s="19"/>
      <c r="E23" s="26">
        <f>SUM(E14:E22)</f>
        <v>96155</v>
      </c>
      <c r="F23" s="19"/>
      <c r="G23" s="19"/>
    </row>
    <row r="24" spans="1:7" x14ac:dyDescent="0.2">
      <c r="A24" s="19"/>
      <c r="B24" s="27" t="s">
        <v>117</v>
      </c>
      <c r="C24" s="28" t="s">
        <v>118</v>
      </c>
      <c r="D24" s="19"/>
      <c r="E24" s="19"/>
      <c r="F24" s="19"/>
      <c r="G24" s="19"/>
    </row>
    <row r="25" spans="1:7" ht="15" thickBot="1" x14ac:dyDescent="0.25">
      <c r="A25" s="19"/>
      <c r="B25" s="27"/>
      <c r="C25" s="27" t="s">
        <v>119</v>
      </c>
      <c r="D25" s="19"/>
      <c r="E25" s="23">
        <v>108399.5</v>
      </c>
      <c r="F25" s="19"/>
      <c r="G25" s="24"/>
    </row>
    <row r="26" spans="1:7" x14ac:dyDescent="0.2">
      <c r="A26" s="19"/>
      <c r="B26" s="27"/>
      <c r="C26" s="25" t="s">
        <v>116</v>
      </c>
      <c r="D26" s="19"/>
      <c r="E26" s="29">
        <f>SUM(E25)</f>
        <v>108399.5</v>
      </c>
      <c r="F26" s="19"/>
      <c r="G26" s="19"/>
    </row>
    <row r="27" spans="1:7" s="131" customFormat="1" ht="15" x14ac:dyDescent="0.25">
      <c r="A27" s="20" t="s">
        <v>120</v>
      </c>
      <c r="B27" s="28" t="s">
        <v>121</v>
      </c>
      <c r="C27" s="30"/>
      <c r="D27" s="20"/>
      <c r="E27" s="20"/>
      <c r="F27" s="20"/>
      <c r="G27" s="31"/>
    </row>
    <row r="28" spans="1:7" x14ac:dyDescent="0.2">
      <c r="A28" s="19"/>
      <c r="B28" s="27"/>
      <c r="C28" s="27" t="s">
        <v>122</v>
      </c>
      <c r="D28" s="19"/>
      <c r="E28" s="23">
        <v>154573.01</v>
      </c>
      <c r="F28" s="19"/>
      <c r="G28" s="24"/>
    </row>
    <row r="29" spans="1:7" x14ac:dyDescent="0.2">
      <c r="A29" s="19"/>
      <c r="B29" s="27"/>
      <c r="C29" s="32" t="s">
        <v>123</v>
      </c>
      <c r="D29" s="19"/>
      <c r="E29" s="23">
        <v>93934.32</v>
      </c>
      <c r="F29" s="19"/>
      <c r="G29" s="24"/>
    </row>
    <row r="30" spans="1:7" x14ac:dyDescent="0.2">
      <c r="A30" s="19"/>
      <c r="B30" s="27"/>
      <c r="C30" s="32" t="s">
        <v>124</v>
      </c>
      <c r="D30" s="19"/>
      <c r="E30" s="23">
        <v>93934.32</v>
      </c>
      <c r="F30" s="19"/>
      <c r="G30" s="24"/>
    </row>
    <row r="31" spans="1:7" x14ac:dyDescent="0.2">
      <c r="A31" s="19"/>
      <c r="B31" s="27"/>
      <c r="C31" s="32" t="s">
        <v>125</v>
      </c>
      <c r="D31" s="19"/>
      <c r="E31" s="23">
        <v>4200</v>
      </c>
      <c r="F31" s="19"/>
      <c r="G31" s="24"/>
    </row>
    <row r="32" spans="1:7" ht="15" thickBot="1" x14ac:dyDescent="0.25">
      <c r="A32" s="19"/>
      <c r="B32" s="27"/>
      <c r="C32" s="32" t="s">
        <v>126</v>
      </c>
      <c r="D32" s="19"/>
      <c r="E32" s="33">
        <v>3600</v>
      </c>
      <c r="F32" s="19"/>
      <c r="G32" s="24"/>
    </row>
    <row r="33" spans="1:8" x14ac:dyDescent="0.2">
      <c r="A33" s="19"/>
      <c r="B33" s="27"/>
      <c r="C33" s="25" t="s">
        <v>116</v>
      </c>
      <c r="D33" s="19"/>
      <c r="E33" s="26">
        <f>SUM(E28:E32)</f>
        <v>350241.65</v>
      </c>
      <c r="F33" s="19"/>
      <c r="G33" s="34"/>
    </row>
    <row r="34" spans="1:8" x14ac:dyDescent="0.2">
      <c r="A34" s="20" t="s">
        <v>127</v>
      </c>
      <c r="B34" s="28" t="s">
        <v>128</v>
      </c>
      <c r="C34" s="28"/>
      <c r="D34" s="19"/>
      <c r="E34" s="34"/>
      <c r="F34" s="19"/>
      <c r="G34" s="34"/>
    </row>
    <row r="35" spans="1:8" ht="15" thickBot="1" x14ac:dyDescent="0.25">
      <c r="A35" s="19"/>
      <c r="B35" s="27"/>
      <c r="C35" s="27" t="s">
        <v>129</v>
      </c>
      <c r="D35" s="19"/>
      <c r="E35" s="33">
        <v>310.25</v>
      </c>
      <c r="F35" s="19"/>
      <c r="G35" s="34"/>
    </row>
    <row r="36" spans="1:8" x14ac:dyDescent="0.2">
      <c r="A36" s="27"/>
      <c r="B36" s="27"/>
      <c r="C36" s="25" t="s">
        <v>130</v>
      </c>
      <c r="D36" s="19"/>
      <c r="E36" s="34">
        <f>SUM(E35)</f>
        <v>310.25</v>
      </c>
      <c r="F36" s="19"/>
      <c r="G36" s="34"/>
    </row>
    <row r="37" spans="1:8" s="131" customFormat="1" ht="15" x14ac:dyDescent="0.25">
      <c r="A37" s="28" t="s">
        <v>131</v>
      </c>
      <c r="B37" s="28" t="s">
        <v>132</v>
      </c>
      <c r="C37" s="28"/>
      <c r="D37" s="20"/>
      <c r="E37" s="20"/>
      <c r="F37" s="20"/>
      <c r="G37" s="20"/>
    </row>
    <row r="38" spans="1:8" ht="15" thickBot="1" x14ac:dyDescent="0.25">
      <c r="A38" s="19"/>
      <c r="B38" s="27"/>
      <c r="C38" s="32" t="s">
        <v>133</v>
      </c>
      <c r="D38" s="19"/>
      <c r="E38" s="23">
        <v>120</v>
      </c>
      <c r="F38" s="19"/>
      <c r="G38" s="24"/>
    </row>
    <row r="39" spans="1:8" x14ac:dyDescent="0.2">
      <c r="A39" s="19"/>
      <c r="B39" s="27"/>
      <c r="C39" s="25" t="s">
        <v>116</v>
      </c>
      <c r="D39" s="19"/>
      <c r="E39" s="29">
        <f>SUM(E38)</f>
        <v>120</v>
      </c>
      <c r="F39" s="19"/>
      <c r="G39" s="24"/>
    </row>
    <row r="40" spans="1:8" ht="16.5" x14ac:dyDescent="0.35">
      <c r="A40" s="19"/>
      <c r="B40" s="19"/>
      <c r="C40" s="170" t="s">
        <v>134</v>
      </c>
      <c r="D40" s="19"/>
      <c r="E40" s="36"/>
      <c r="F40" s="19"/>
      <c r="G40" s="37">
        <f>E23+E26+E33+E36+E39</f>
        <v>555226.4</v>
      </c>
      <c r="H40" s="134"/>
    </row>
    <row r="41" spans="1:8" x14ac:dyDescent="0.2">
      <c r="A41" s="19"/>
      <c r="B41" s="19"/>
      <c r="C41" s="170" t="s">
        <v>135</v>
      </c>
      <c r="D41" s="19"/>
      <c r="E41" s="21"/>
      <c r="F41" s="19"/>
      <c r="G41" s="31">
        <f>G9+G40</f>
        <v>2886429.35</v>
      </c>
    </row>
    <row r="42" spans="1:8" x14ac:dyDescent="0.2">
      <c r="A42" s="19"/>
      <c r="B42" s="19"/>
      <c r="C42" s="170"/>
      <c r="D42" s="19"/>
      <c r="E42" s="36"/>
      <c r="F42" s="19"/>
      <c r="G42" s="31"/>
    </row>
    <row r="43" spans="1:8" x14ac:dyDescent="0.2">
      <c r="A43" s="20" t="s">
        <v>136</v>
      </c>
      <c r="B43" s="20" t="s">
        <v>137</v>
      </c>
      <c r="C43" s="20"/>
      <c r="D43" s="19"/>
      <c r="E43" s="19"/>
      <c r="F43" s="19"/>
      <c r="G43" s="19"/>
    </row>
    <row r="44" spans="1:8" x14ac:dyDescent="0.2">
      <c r="A44" s="20" t="s">
        <v>107</v>
      </c>
      <c r="B44" s="20" t="s">
        <v>108</v>
      </c>
      <c r="C44" s="20"/>
      <c r="D44" s="19"/>
      <c r="E44" s="19"/>
      <c r="F44" s="19"/>
      <c r="G44" s="24"/>
    </row>
    <row r="45" spans="1:8" ht="14.25" customHeight="1" x14ac:dyDescent="0.2">
      <c r="A45" s="20"/>
      <c r="B45" s="20" t="s">
        <v>109</v>
      </c>
      <c r="C45" s="20" t="s">
        <v>138</v>
      </c>
      <c r="D45" s="19"/>
      <c r="E45" s="19"/>
      <c r="F45" s="19"/>
      <c r="G45" s="24"/>
    </row>
    <row r="46" spans="1:8" x14ac:dyDescent="0.2">
      <c r="A46" s="19"/>
      <c r="B46" s="19"/>
      <c r="C46" s="27" t="s">
        <v>207</v>
      </c>
      <c r="D46" s="38"/>
      <c r="E46" s="38">
        <v>113407</v>
      </c>
      <c r="F46" s="39"/>
      <c r="G46" s="38"/>
    </row>
    <row r="47" spans="1:8" x14ac:dyDescent="0.2">
      <c r="A47" s="19"/>
      <c r="B47" s="19"/>
      <c r="C47" s="27" t="s">
        <v>208</v>
      </c>
      <c r="D47" s="38"/>
      <c r="E47" s="38">
        <v>25000</v>
      </c>
      <c r="F47" s="39"/>
      <c r="G47" s="38"/>
    </row>
    <row r="48" spans="1:8" x14ac:dyDescent="0.2">
      <c r="A48" s="19"/>
      <c r="B48" s="19"/>
      <c r="C48" s="27" t="s">
        <v>209</v>
      </c>
      <c r="D48" s="38"/>
      <c r="E48" s="38">
        <v>4500</v>
      </c>
      <c r="F48" s="39"/>
      <c r="G48" s="38"/>
    </row>
    <row r="49" spans="1:7" hidden="1" x14ac:dyDescent="0.2">
      <c r="A49" s="19"/>
      <c r="B49" s="19"/>
      <c r="C49" s="27" t="s">
        <v>210</v>
      </c>
      <c r="D49" s="38"/>
      <c r="E49" s="38"/>
      <c r="F49" s="39"/>
      <c r="G49" s="38"/>
    </row>
    <row r="50" spans="1:7" x14ac:dyDescent="0.2">
      <c r="A50" s="19"/>
      <c r="B50" s="19"/>
      <c r="C50" s="27" t="s">
        <v>238</v>
      </c>
      <c r="D50" s="38"/>
      <c r="E50" s="38">
        <v>10570</v>
      </c>
      <c r="F50" s="39"/>
      <c r="G50" s="38"/>
    </row>
    <row r="51" spans="1:7" x14ac:dyDescent="0.2">
      <c r="A51" s="19"/>
      <c r="B51" s="19"/>
      <c r="C51" s="27" t="s">
        <v>239</v>
      </c>
      <c r="D51" s="38"/>
      <c r="E51" s="38">
        <v>2119.19</v>
      </c>
      <c r="F51" s="39"/>
      <c r="G51" s="38"/>
    </row>
    <row r="52" spans="1:7" x14ac:dyDescent="0.2">
      <c r="A52" s="19"/>
      <c r="B52" s="19"/>
      <c r="C52" s="27" t="s">
        <v>240</v>
      </c>
      <c r="D52" s="38"/>
      <c r="E52" s="38">
        <v>1200</v>
      </c>
      <c r="F52" s="39"/>
      <c r="G52" s="38"/>
    </row>
    <row r="53" spans="1:7" x14ac:dyDescent="0.2">
      <c r="A53" s="19"/>
      <c r="B53" s="19"/>
      <c r="C53" s="27" t="s">
        <v>391</v>
      </c>
      <c r="D53" s="38"/>
      <c r="E53" s="38">
        <v>42000</v>
      </c>
      <c r="F53" s="39"/>
      <c r="G53" s="38"/>
    </row>
    <row r="54" spans="1:7" x14ac:dyDescent="0.2">
      <c r="A54" s="19"/>
      <c r="B54" s="19"/>
      <c r="C54" s="27" t="s">
        <v>398</v>
      </c>
      <c r="D54" s="38"/>
      <c r="E54" s="22">
        <f>440</f>
        <v>440</v>
      </c>
      <c r="F54" s="39"/>
      <c r="G54" s="24"/>
    </row>
    <row r="55" spans="1:7" x14ac:dyDescent="0.2">
      <c r="A55" s="19"/>
      <c r="B55" s="19"/>
      <c r="C55" s="27" t="s">
        <v>399</v>
      </c>
      <c r="D55" s="38"/>
      <c r="E55" s="38">
        <v>330</v>
      </c>
      <c r="F55" s="39"/>
      <c r="G55" s="24"/>
    </row>
    <row r="56" spans="1:7" x14ac:dyDescent="0.2">
      <c r="A56" s="19"/>
      <c r="B56" s="19"/>
      <c r="C56" s="27" t="s">
        <v>400</v>
      </c>
      <c r="D56" s="38"/>
      <c r="E56" s="38">
        <v>3328.97</v>
      </c>
      <c r="F56" s="39"/>
      <c r="G56" s="19"/>
    </row>
    <row r="57" spans="1:7" x14ac:dyDescent="0.2">
      <c r="A57" s="19"/>
      <c r="B57" s="19"/>
      <c r="C57" s="27" t="s">
        <v>401</v>
      </c>
      <c r="D57" s="38"/>
      <c r="E57" s="38">
        <v>111556</v>
      </c>
      <c r="F57" s="39"/>
      <c r="G57" s="19"/>
    </row>
    <row r="58" spans="1:7" hidden="1" x14ac:dyDescent="0.2">
      <c r="A58" s="19"/>
      <c r="B58" s="19"/>
      <c r="C58" s="27" t="s">
        <v>139</v>
      </c>
      <c r="D58" s="38"/>
      <c r="E58" s="38"/>
      <c r="F58" s="39"/>
      <c r="G58" s="19"/>
    </row>
    <row r="59" spans="1:7" hidden="1" x14ac:dyDescent="0.2">
      <c r="A59" s="19"/>
      <c r="B59" s="19"/>
      <c r="C59" s="27" t="s">
        <v>186</v>
      </c>
      <c r="D59" s="38"/>
      <c r="E59" s="38"/>
      <c r="F59" s="39"/>
      <c r="G59" s="19"/>
    </row>
    <row r="60" spans="1:7" hidden="1" x14ac:dyDescent="0.2">
      <c r="A60" s="19"/>
      <c r="B60" s="19"/>
      <c r="C60" s="27" t="s">
        <v>185</v>
      </c>
      <c r="D60" s="38"/>
      <c r="E60" s="38"/>
      <c r="F60" s="39"/>
      <c r="G60" s="19"/>
    </row>
    <row r="61" spans="1:7" x14ac:dyDescent="0.2">
      <c r="A61" s="19"/>
      <c r="B61" s="19"/>
      <c r="C61" s="27" t="s">
        <v>402</v>
      </c>
      <c r="D61" s="38"/>
      <c r="E61" s="38">
        <v>54364.3</v>
      </c>
      <c r="F61" s="39"/>
      <c r="G61" s="19"/>
    </row>
    <row r="62" spans="1:7" x14ac:dyDescent="0.2">
      <c r="A62" s="19"/>
      <c r="B62" s="19"/>
      <c r="C62" s="27" t="s">
        <v>403</v>
      </c>
      <c r="D62" s="22"/>
      <c r="E62" s="23">
        <v>12000</v>
      </c>
      <c r="F62" s="38"/>
      <c r="G62" s="19"/>
    </row>
    <row r="63" spans="1:7" x14ac:dyDescent="0.2">
      <c r="A63" s="19"/>
      <c r="B63" s="19"/>
      <c r="C63" s="27" t="s">
        <v>404</v>
      </c>
      <c r="D63" s="22"/>
      <c r="E63" s="23">
        <v>52000</v>
      </c>
      <c r="F63" s="38"/>
      <c r="G63" s="19"/>
    </row>
    <row r="64" spans="1:7" x14ac:dyDescent="0.2">
      <c r="A64" s="19"/>
      <c r="B64" s="19"/>
      <c r="C64" s="27" t="s">
        <v>405</v>
      </c>
      <c r="D64" s="38"/>
      <c r="E64" s="106">
        <v>6500</v>
      </c>
      <c r="F64" s="39"/>
      <c r="G64" s="19"/>
    </row>
    <row r="65" spans="1:7" x14ac:dyDescent="0.2">
      <c r="A65" s="19"/>
      <c r="B65" s="19"/>
      <c r="C65" s="27" t="s">
        <v>406</v>
      </c>
      <c r="D65" s="38"/>
      <c r="E65" s="106">
        <v>2100</v>
      </c>
      <c r="F65" s="39"/>
      <c r="G65" s="19"/>
    </row>
    <row r="66" spans="1:7" hidden="1" x14ac:dyDescent="0.2">
      <c r="A66" s="19"/>
      <c r="B66" s="19"/>
      <c r="C66" s="27" t="s">
        <v>249</v>
      </c>
      <c r="D66" s="38"/>
      <c r="E66" s="106"/>
      <c r="F66" s="39"/>
      <c r="G66" s="19"/>
    </row>
    <row r="67" spans="1:7" x14ac:dyDescent="0.2">
      <c r="A67" s="19"/>
      <c r="B67" s="19"/>
      <c r="C67" s="27" t="s">
        <v>407</v>
      </c>
      <c r="D67" s="40"/>
      <c r="E67" s="106">
        <v>13785.5</v>
      </c>
      <c r="F67" s="39"/>
      <c r="G67" s="19"/>
    </row>
    <row r="68" spans="1:7" hidden="1" x14ac:dyDescent="0.2">
      <c r="A68" s="19"/>
      <c r="B68" s="19"/>
      <c r="C68" s="27" t="s">
        <v>250</v>
      </c>
      <c r="D68" s="40"/>
      <c r="E68" s="106"/>
      <c r="F68" s="39"/>
      <c r="G68" s="19"/>
    </row>
    <row r="69" spans="1:7" x14ac:dyDescent="0.2">
      <c r="A69" s="19"/>
      <c r="B69" s="19"/>
      <c r="C69" s="27" t="s">
        <v>408</v>
      </c>
      <c r="D69" s="40"/>
      <c r="E69" s="106">
        <v>15346.65</v>
      </c>
      <c r="F69" s="39"/>
      <c r="G69" s="19"/>
    </row>
    <row r="70" spans="1:7" x14ac:dyDescent="0.2">
      <c r="A70" s="19"/>
      <c r="B70" s="19"/>
      <c r="C70" s="27" t="s">
        <v>409</v>
      </c>
      <c r="D70" s="40"/>
      <c r="E70" s="38">
        <v>8129.5</v>
      </c>
      <c r="F70" s="39"/>
      <c r="G70" s="19"/>
    </row>
    <row r="71" spans="1:7" x14ac:dyDescent="0.2">
      <c r="A71" s="19"/>
      <c r="B71" s="19"/>
      <c r="C71" s="27" t="s">
        <v>410</v>
      </c>
      <c r="D71" s="22"/>
      <c r="E71" s="38">
        <v>2597.79</v>
      </c>
      <c r="F71" s="39"/>
      <c r="G71" s="19"/>
    </row>
    <row r="72" spans="1:7" hidden="1" x14ac:dyDescent="0.2">
      <c r="A72" s="19"/>
      <c r="B72" s="19"/>
      <c r="C72" s="27" t="s">
        <v>187</v>
      </c>
      <c r="D72" s="22"/>
      <c r="E72" s="38"/>
      <c r="F72" s="39"/>
      <c r="G72" s="19"/>
    </row>
    <row r="73" spans="1:7" hidden="1" x14ac:dyDescent="0.2">
      <c r="A73" s="19"/>
      <c r="B73" s="19"/>
      <c r="C73" s="27" t="s">
        <v>188</v>
      </c>
      <c r="D73" s="22"/>
      <c r="E73" s="38"/>
      <c r="F73" s="39"/>
      <c r="G73" s="19"/>
    </row>
    <row r="74" spans="1:7" hidden="1" x14ac:dyDescent="0.2">
      <c r="A74" s="19"/>
      <c r="B74" s="19"/>
      <c r="C74" s="27" t="s">
        <v>189</v>
      </c>
      <c r="D74" s="22"/>
      <c r="E74" s="38"/>
      <c r="F74" s="39"/>
      <c r="G74" s="19"/>
    </row>
    <row r="75" spans="1:7" hidden="1" x14ac:dyDescent="0.2">
      <c r="A75" s="19"/>
      <c r="B75" s="19"/>
      <c r="C75" s="27" t="s">
        <v>190</v>
      </c>
      <c r="D75" s="22"/>
      <c r="E75" s="38"/>
      <c r="F75" s="39"/>
      <c r="G75" s="19"/>
    </row>
    <row r="76" spans="1:7" x14ac:dyDescent="0.2">
      <c r="A76" s="19"/>
      <c r="B76" s="19"/>
      <c r="C76" s="27" t="s">
        <v>411</v>
      </c>
      <c r="D76" s="22"/>
      <c r="E76" s="38">
        <v>3015</v>
      </c>
      <c r="F76" s="39"/>
      <c r="G76" s="19"/>
    </row>
    <row r="77" spans="1:7" x14ac:dyDescent="0.2">
      <c r="A77" s="19"/>
      <c r="B77" s="19"/>
      <c r="C77" s="27" t="s">
        <v>412</v>
      </c>
      <c r="D77" s="22"/>
      <c r="E77" s="38">
        <v>1040</v>
      </c>
      <c r="F77" s="39"/>
      <c r="G77" s="19"/>
    </row>
    <row r="78" spans="1:7" x14ac:dyDescent="0.2">
      <c r="A78" s="19"/>
      <c r="B78" s="19"/>
      <c r="C78" s="27" t="s">
        <v>413</v>
      </c>
      <c r="D78" s="22"/>
      <c r="E78" s="53">
        <v>3000</v>
      </c>
      <c r="F78" s="39"/>
      <c r="G78" s="19"/>
    </row>
    <row r="79" spans="1:7" hidden="1" x14ac:dyDescent="0.2">
      <c r="A79" s="19"/>
      <c r="B79" s="19"/>
      <c r="C79" s="27" t="s">
        <v>259</v>
      </c>
      <c r="D79" s="22"/>
      <c r="E79" s="23"/>
      <c r="F79" s="38"/>
      <c r="G79" s="19"/>
    </row>
    <row r="80" spans="1:7" x14ac:dyDescent="0.2">
      <c r="A80" s="19"/>
      <c r="B80" s="19"/>
      <c r="C80" s="25" t="s">
        <v>130</v>
      </c>
      <c r="D80" s="23"/>
      <c r="E80" s="41">
        <f>SUM(E46:E78)</f>
        <v>488329.9</v>
      </c>
      <c r="F80" s="19"/>
      <c r="G80" s="19"/>
    </row>
    <row r="81" spans="1:7" x14ac:dyDescent="0.2">
      <c r="A81" s="19"/>
      <c r="B81" s="19"/>
      <c r="C81" s="25"/>
      <c r="D81" s="23"/>
      <c r="E81" s="34"/>
      <c r="F81" s="19"/>
      <c r="G81" s="19"/>
    </row>
    <row r="82" spans="1:7" ht="14.25" customHeight="1" x14ac:dyDescent="0.2">
      <c r="A82" s="20"/>
      <c r="B82" s="20" t="s">
        <v>117</v>
      </c>
      <c r="C82" s="20" t="s">
        <v>140</v>
      </c>
      <c r="D82" s="19"/>
      <c r="E82" s="19"/>
      <c r="F82" s="19"/>
      <c r="G82" s="24"/>
    </row>
    <row r="83" spans="1:7" x14ac:dyDescent="0.2">
      <c r="A83" s="19"/>
      <c r="B83" s="19"/>
      <c r="C83" s="27" t="s">
        <v>141</v>
      </c>
      <c r="D83" s="38"/>
      <c r="E83" s="38">
        <v>79685</v>
      </c>
      <c r="F83" s="39"/>
      <c r="G83" s="24"/>
    </row>
    <row r="84" spans="1:7" x14ac:dyDescent="0.2">
      <c r="A84" s="19"/>
      <c r="B84" s="19"/>
      <c r="C84" s="25" t="s">
        <v>130</v>
      </c>
      <c r="D84" s="23"/>
      <c r="E84" s="41">
        <f>SUM(E83)</f>
        <v>79685</v>
      </c>
      <c r="F84" s="19"/>
      <c r="G84" s="19"/>
    </row>
    <row r="85" spans="1:7" s="141" customFormat="1" hidden="1" x14ac:dyDescent="0.2">
      <c r="A85" s="42" t="s">
        <v>120</v>
      </c>
      <c r="B85" s="42" t="s">
        <v>142</v>
      </c>
      <c r="C85" s="42"/>
      <c r="D85" s="42"/>
      <c r="E85" s="43"/>
      <c r="F85" s="44"/>
      <c r="G85" s="44"/>
    </row>
    <row r="86" spans="1:7" hidden="1" x14ac:dyDescent="0.2">
      <c r="A86" s="27"/>
      <c r="B86" s="28"/>
      <c r="C86" s="28" t="s">
        <v>143</v>
      </c>
      <c r="D86" s="19"/>
      <c r="E86" s="19"/>
      <c r="F86" s="19"/>
      <c r="G86" s="19"/>
    </row>
    <row r="87" spans="1:7" hidden="1" x14ac:dyDescent="0.2">
      <c r="A87" s="27"/>
      <c r="B87" s="27"/>
      <c r="C87" s="45" t="s">
        <v>144</v>
      </c>
      <c r="D87" s="19"/>
      <c r="E87" s="23"/>
      <c r="F87" s="19"/>
      <c r="G87" s="19"/>
    </row>
    <row r="88" spans="1:7" hidden="1" x14ac:dyDescent="0.2">
      <c r="A88" s="27"/>
      <c r="B88" s="27"/>
      <c r="C88" s="45" t="s">
        <v>184</v>
      </c>
      <c r="D88" s="19"/>
      <c r="E88" s="23"/>
      <c r="F88" s="19"/>
      <c r="G88" s="19"/>
    </row>
    <row r="89" spans="1:7" hidden="1" x14ac:dyDescent="0.2">
      <c r="A89" s="27"/>
      <c r="B89" s="27"/>
      <c r="C89" s="25" t="s">
        <v>130</v>
      </c>
      <c r="D89" s="19"/>
      <c r="E89" s="34"/>
      <c r="F89" s="19"/>
      <c r="G89" s="19"/>
    </row>
    <row r="90" spans="1:7" x14ac:dyDescent="0.2">
      <c r="A90" s="27"/>
      <c r="B90" s="27"/>
      <c r="C90" s="25"/>
      <c r="D90" s="19"/>
      <c r="E90" s="34"/>
      <c r="F90" s="19"/>
      <c r="G90" s="19"/>
    </row>
    <row r="91" spans="1:7" x14ac:dyDescent="0.2">
      <c r="A91" s="27"/>
      <c r="B91" s="27"/>
      <c r="C91" s="25"/>
      <c r="D91" s="19"/>
      <c r="E91" s="34"/>
      <c r="F91" s="19"/>
      <c r="G91" s="19"/>
    </row>
    <row r="92" spans="1:7" x14ac:dyDescent="0.2">
      <c r="A92" s="27"/>
      <c r="B92" s="27"/>
      <c r="C92" s="25"/>
      <c r="D92" s="19"/>
      <c r="E92" s="34"/>
      <c r="F92" s="19"/>
      <c r="G92" s="19"/>
    </row>
    <row r="93" spans="1:7" x14ac:dyDescent="0.2">
      <c r="A93" s="27"/>
      <c r="B93" s="27"/>
      <c r="C93" s="25"/>
      <c r="D93" s="19"/>
      <c r="E93" s="34"/>
      <c r="F93" s="19"/>
      <c r="G93" s="19"/>
    </row>
    <row r="94" spans="1:7" x14ac:dyDescent="0.2">
      <c r="A94" s="20" t="s">
        <v>155</v>
      </c>
      <c r="B94" s="28" t="s">
        <v>145</v>
      </c>
      <c r="C94" s="28"/>
      <c r="D94" s="19"/>
      <c r="E94" s="34"/>
      <c r="F94" s="19"/>
      <c r="G94" s="19"/>
    </row>
    <row r="95" spans="1:7" ht="16.5" x14ac:dyDescent="0.35">
      <c r="A95" s="19"/>
      <c r="B95" s="27"/>
      <c r="C95" s="27" t="s">
        <v>146</v>
      </c>
      <c r="D95" s="19"/>
      <c r="E95" s="35">
        <v>285</v>
      </c>
      <c r="F95" s="19"/>
      <c r="G95" s="19"/>
    </row>
    <row r="96" spans="1:7" x14ac:dyDescent="0.2">
      <c r="A96" s="27"/>
      <c r="B96" s="27"/>
      <c r="C96" s="25" t="s">
        <v>130</v>
      </c>
      <c r="D96" s="19"/>
      <c r="E96" s="34">
        <f>SUM(E95)</f>
        <v>285</v>
      </c>
      <c r="F96" s="19"/>
      <c r="G96" s="19"/>
    </row>
    <row r="97" spans="1:8" x14ac:dyDescent="0.2">
      <c r="A97" s="19"/>
      <c r="B97" s="19"/>
      <c r="C97" s="25" t="s">
        <v>147</v>
      </c>
      <c r="D97" s="19"/>
      <c r="E97" s="39"/>
      <c r="F97" s="19"/>
      <c r="G97" s="46">
        <f>E80+E84+E96</f>
        <v>568299.9</v>
      </c>
    </row>
    <row r="98" spans="1:8" ht="15" thickBot="1" x14ac:dyDescent="0.25">
      <c r="A98" s="47" t="s">
        <v>392</v>
      </c>
      <c r="B98" s="19"/>
      <c r="C98" s="19"/>
      <c r="D98" s="19"/>
      <c r="E98" s="19"/>
      <c r="F98" s="19"/>
      <c r="G98" s="48">
        <f>G41-G97</f>
        <v>2318129.4500000002</v>
      </c>
    </row>
    <row r="99" spans="1:8" ht="15" thickTop="1" x14ac:dyDescent="0.2">
      <c r="A99" s="19"/>
      <c r="B99" s="19"/>
      <c r="C99" s="47"/>
      <c r="D99" s="19"/>
      <c r="E99" s="19"/>
      <c r="F99" s="19"/>
      <c r="G99" s="20"/>
    </row>
    <row r="100" spans="1:8" x14ac:dyDescent="0.2">
      <c r="A100" s="28" t="s">
        <v>148</v>
      </c>
      <c r="B100" s="28"/>
      <c r="C100" s="28"/>
      <c r="D100" s="19"/>
      <c r="E100" s="36"/>
      <c r="F100" s="19"/>
      <c r="G100" s="20"/>
    </row>
    <row r="101" spans="1:8" ht="16.5" customHeight="1" x14ac:dyDescent="0.25">
      <c r="A101" s="28" t="s">
        <v>149</v>
      </c>
      <c r="B101" s="28"/>
      <c r="C101" s="28"/>
      <c r="D101" s="19"/>
      <c r="E101" s="36"/>
      <c r="F101" s="19"/>
      <c r="G101" s="20"/>
      <c r="H101" s="138">
        <f>G98-G119</f>
        <v>0</v>
      </c>
    </row>
    <row r="102" spans="1:8" x14ac:dyDescent="0.2">
      <c r="A102" s="27"/>
      <c r="B102" s="27"/>
      <c r="C102" s="28" t="s">
        <v>150</v>
      </c>
      <c r="D102" s="19"/>
      <c r="E102" s="36"/>
      <c r="F102" s="19"/>
      <c r="G102" s="19"/>
      <c r="H102" s="134"/>
    </row>
    <row r="103" spans="1:8" x14ac:dyDescent="0.2">
      <c r="A103" s="27"/>
      <c r="B103" s="27"/>
      <c r="C103" s="27" t="s">
        <v>151</v>
      </c>
      <c r="D103" s="38"/>
      <c r="E103" s="38">
        <v>284820.45</v>
      </c>
      <c r="F103" s="19"/>
      <c r="G103" s="24"/>
    </row>
    <row r="104" spans="1:8" x14ac:dyDescent="0.2">
      <c r="A104" s="27"/>
      <c r="B104" s="27"/>
      <c r="C104" s="27" t="s">
        <v>152</v>
      </c>
      <c r="D104" s="38"/>
      <c r="E104" s="38">
        <v>5000</v>
      </c>
      <c r="F104" s="19"/>
      <c r="G104" s="24"/>
    </row>
    <row r="105" spans="1:8" x14ac:dyDescent="0.2">
      <c r="A105" s="27"/>
      <c r="B105" s="27"/>
      <c r="C105" s="49" t="s">
        <v>229</v>
      </c>
      <c r="D105" s="38"/>
      <c r="E105" s="38">
        <v>219155.32</v>
      </c>
      <c r="F105" s="19"/>
      <c r="G105" s="24"/>
    </row>
    <row r="106" spans="1:8" x14ac:dyDescent="0.2">
      <c r="A106" s="27"/>
      <c r="B106" s="27"/>
      <c r="C106" s="49" t="s">
        <v>393</v>
      </c>
      <c r="D106" s="38"/>
      <c r="E106" s="38">
        <v>113100</v>
      </c>
      <c r="F106" s="19"/>
      <c r="G106" s="24"/>
    </row>
    <row r="107" spans="1:8" x14ac:dyDescent="0.2">
      <c r="A107" s="27"/>
      <c r="B107" s="27"/>
      <c r="C107" s="25" t="s">
        <v>116</v>
      </c>
      <c r="D107" s="36"/>
      <c r="E107" s="50">
        <f>SUM(E103:E106)</f>
        <v>622075.77</v>
      </c>
      <c r="F107" s="19"/>
      <c r="G107" s="24"/>
    </row>
    <row r="108" spans="1:8" x14ac:dyDescent="0.2">
      <c r="A108" s="19"/>
      <c r="B108" s="19"/>
      <c r="C108" s="28" t="s">
        <v>153</v>
      </c>
      <c r="D108" s="51"/>
      <c r="E108" s="51"/>
      <c r="F108" s="19"/>
      <c r="G108" s="19"/>
    </row>
    <row r="109" spans="1:8" x14ac:dyDescent="0.2">
      <c r="A109" s="19"/>
      <c r="B109" s="19"/>
      <c r="C109" s="27" t="s">
        <v>154</v>
      </c>
      <c r="D109" s="52"/>
      <c r="E109" s="53">
        <v>298145.63</v>
      </c>
      <c r="F109" s="19"/>
      <c r="G109" s="24"/>
    </row>
    <row r="110" spans="1:8" x14ac:dyDescent="0.2">
      <c r="A110" s="19"/>
      <c r="B110" s="19"/>
      <c r="C110" s="25" t="s">
        <v>116</v>
      </c>
      <c r="D110" s="52"/>
      <c r="E110" s="52">
        <f>SUM(E109)</f>
        <v>298145.63</v>
      </c>
      <c r="F110" s="19"/>
      <c r="G110" s="24"/>
    </row>
    <row r="111" spans="1:8" x14ac:dyDescent="0.2">
      <c r="A111" s="28" t="s">
        <v>155</v>
      </c>
      <c r="B111" s="28" t="s">
        <v>142</v>
      </c>
      <c r="C111" s="28"/>
      <c r="D111" s="52"/>
      <c r="E111" s="36"/>
      <c r="F111" s="19"/>
      <c r="G111" s="19"/>
      <c r="H111" s="134"/>
    </row>
    <row r="112" spans="1:8" x14ac:dyDescent="0.2">
      <c r="A112" s="27"/>
      <c r="B112" s="27"/>
      <c r="C112" s="28" t="s">
        <v>156</v>
      </c>
      <c r="D112" s="19"/>
      <c r="E112" s="39"/>
      <c r="F112" s="19"/>
      <c r="G112" s="19"/>
    </row>
    <row r="113" spans="1:8" x14ac:dyDescent="0.2">
      <c r="A113" s="27"/>
      <c r="B113" s="27"/>
      <c r="C113" s="27" t="s">
        <v>157</v>
      </c>
      <c r="D113" s="19"/>
      <c r="E113" s="22">
        <v>354272.22</v>
      </c>
      <c r="F113" s="19"/>
      <c r="G113" s="19"/>
    </row>
    <row r="114" spans="1:8" x14ac:dyDescent="0.2">
      <c r="A114" s="51"/>
      <c r="B114" s="51"/>
      <c r="C114" s="27" t="s">
        <v>158</v>
      </c>
      <c r="D114" s="52"/>
      <c r="E114" s="38"/>
      <c r="F114" s="19"/>
      <c r="G114" s="24"/>
    </row>
    <row r="115" spans="1:8" x14ac:dyDescent="0.2">
      <c r="A115" s="51"/>
      <c r="B115" s="51"/>
      <c r="C115" s="27" t="s">
        <v>159</v>
      </c>
      <c r="D115" s="52"/>
      <c r="E115" s="38"/>
      <c r="F115" s="19"/>
      <c r="G115" s="24"/>
    </row>
    <row r="116" spans="1:8" x14ac:dyDescent="0.2">
      <c r="A116" s="51"/>
      <c r="B116" s="51"/>
      <c r="C116" s="27" t="s">
        <v>160</v>
      </c>
      <c r="D116" s="52"/>
      <c r="E116" s="38">
        <v>346950.11</v>
      </c>
      <c r="F116" s="19"/>
      <c r="G116" s="24"/>
    </row>
    <row r="117" spans="1:8" x14ac:dyDescent="0.2">
      <c r="A117" s="19"/>
      <c r="B117" s="19"/>
      <c r="C117" s="27" t="s">
        <v>161</v>
      </c>
      <c r="D117" s="52"/>
      <c r="E117" s="53">
        <v>696685.72</v>
      </c>
      <c r="F117" s="19"/>
      <c r="G117" s="19"/>
    </row>
    <row r="118" spans="1:8" x14ac:dyDescent="0.2">
      <c r="A118" s="51"/>
      <c r="B118" s="51"/>
      <c r="C118" s="25" t="s">
        <v>116</v>
      </c>
      <c r="D118" s="52"/>
      <c r="E118" s="52">
        <f>SUM(E113:E117)</f>
        <v>1397908.0499999998</v>
      </c>
      <c r="F118" s="19"/>
      <c r="G118" s="39"/>
    </row>
    <row r="119" spans="1:8" ht="15" thickBot="1" x14ac:dyDescent="0.25">
      <c r="A119" s="20" t="s">
        <v>392</v>
      </c>
      <c r="B119" s="20"/>
      <c r="C119" s="20"/>
      <c r="D119" s="19"/>
      <c r="E119" s="36"/>
      <c r="F119" s="19"/>
      <c r="G119" s="54">
        <f>SUM(E107+E110+E118)</f>
        <v>2318129.4499999997</v>
      </c>
    </row>
    <row r="120" spans="1:8" ht="15" thickTop="1" x14ac:dyDescent="0.2">
      <c r="A120" s="19"/>
      <c r="B120" s="19"/>
      <c r="C120" s="19"/>
      <c r="D120" s="19"/>
      <c r="E120" s="19"/>
      <c r="F120" s="19"/>
      <c r="G120" s="24"/>
      <c r="H120" s="134"/>
    </row>
    <row r="121" spans="1:8" x14ac:dyDescent="0.2">
      <c r="A121" s="19"/>
      <c r="B121" s="19"/>
      <c r="C121" s="19"/>
      <c r="D121" s="19"/>
      <c r="E121" s="19"/>
      <c r="F121" s="19"/>
      <c r="G121" s="24"/>
      <c r="H121" s="134"/>
    </row>
    <row r="122" spans="1:8" x14ac:dyDescent="0.2">
      <c r="A122" s="27" t="s">
        <v>162</v>
      </c>
      <c r="B122" s="51"/>
      <c r="C122" s="51"/>
      <c r="D122" s="168"/>
      <c r="E122" s="168"/>
      <c r="F122" s="19"/>
      <c r="G122" s="24"/>
    </row>
    <row r="123" spans="1:8" x14ac:dyDescent="0.2">
      <c r="A123" s="27"/>
      <c r="B123" s="51"/>
      <c r="C123" s="51"/>
      <c r="D123" s="168"/>
      <c r="E123" s="168"/>
      <c r="F123" s="19"/>
      <c r="G123" s="24"/>
    </row>
    <row r="124" spans="1:8" x14ac:dyDescent="0.2">
      <c r="A124" s="27"/>
      <c r="B124" s="51"/>
      <c r="C124" s="51"/>
      <c r="D124" s="168"/>
      <c r="E124" s="168"/>
      <c r="F124" s="19"/>
      <c r="G124" s="24"/>
    </row>
    <row r="125" spans="1:8" x14ac:dyDescent="0.2">
      <c r="A125" s="27"/>
      <c r="B125" s="51"/>
      <c r="C125" s="167" t="s">
        <v>163</v>
      </c>
      <c r="D125" s="168"/>
      <c r="E125" s="168"/>
      <c r="F125" s="19"/>
      <c r="G125" s="24"/>
    </row>
    <row r="126" spans="1:8" x14ac:dyDescent="0.2">
      <c r="A126" s="27"/>
      <c r="B126" s="51"/>
      <c r="C126" s="168" t="s">
        <v>164</v>
      </c>
      <c r="D126" s="27"/>
      <c r="E126" s="27"/>
      <c r="F126" s="19"/>
      <c r="G126" s="24"/>
    </row>
    <row r="127" spans="1:8" x14ac:dyDescent="0.2">
      <c r="A127" s="27"/>
      <c r="B127" s="27"/>
      <c r="C127" s="168"/>
      <c r="D127" s="45"/>
      <c r="E127" s="168"/>
      <c r="F127" s="19"/>
      <c r="G127" s="19"/>
    </row>
    <row r="128" spans="1:8" x14ac:dyDescent="0.2">
      <c r="A128" s="27"/>
      <c r="B128" s="27"/>
      <c r="C128" s="168"/>
      <c r="D128" s="45" t="s">
        <v>165</v>
      </c>
      <c r="E128" s="168"/>
      <c r="F128" s="19"/>
      <c r="G128" s="19"/>
    </row>
    <row r="129" spans="1:7" x14ac:dyDescent="0.2">
      <c r="A129" s="27"/>
      <c r="B129" s="27"/>
      <c r="C129" s="168"/>
      <c r="D129" s="45"/>
      <c r="E129" s="168"/>
      <c r="F129" s="19"/>
      <c r="G129" s="19"/>
    </row>
    <row r="130" spans="1:7" x14ac:dyDescent="0.2">
      <c r="A130" s="27"/>
      <c r="B130" s="27"/>
      <c r="C130" s="168"/>
      <c r="D130" s="51"/>
      <c r="E130" s="51"/>
      <c r="F130" s="19"/>
      <c r="G130" s="19"/>
    </row>
    <row r="131" spans="1:7" x14ac:dyDescent="0.2">
      <c r="A131" s="27"/>
      <c r="B131" s="27"/>
      <c r="C131" s="168"/>
      <c r="D131" s="189" t="s">
        <v>59</v>
      </c>
      <c r="E131" s="190"/>
      <c r="F131" s="190"/>
      <c r="G131" s="190"/>
    </row>
    <row r="132" spans="1:7" x14ac:dyDescent="0.2">
      <c r="A132" s="27"/>
      <c r="B132" s="27"/>
      <c r="C132" s="168"/>
      <c r="D132" s="191" t="s">
        <v>261</v>
      </c>
      <c r="E132" s="191"/>
      <c r="F132" s="191"/>
      <c r="G132" s="191"/>
    </row>
    <row r="133" spans="1:7" x14ac:dyDescent="0.2">
      <c r="A133" s="19"/>
      <c r="B133" s="19"/>
      <c r="C133" s="19"/>
      <c r="D133" s="19"/>
      <c r="E133" s="27"/>
      <c r="F133" s="19"/>
      <c r="G133" s="19"/>
    </row>
    <row r="134" spans="1:7" x14ac:dyDescent="0.2">
      <c r="A134" s="27"/>
      <c r="B134" s="27"/>
      <c r="C134" s="168"/>
      <c r="D134" s="19"/>
      <c r="E134" s="19"/>
      <c r="F134" s="19"/>
      <c r="G134" s="19"/>
    </row>
    <row r="135" spans="1:7" x14ac:dyDescent="0.2">
      <c r="A135" s="27"/>
      <c r="B135" s="27"/>
      <c r="C135" s="168"/>
      <c r="D135" s="27" t="s">
        <v>166</v>
      </c>
      <c r="E135" s="27"/>
      <c r="F135" s="19"/>
      <c r="G135" s="19"/>
    </row>
    <row r="136" spans="1:7" x14ac:dyDescent="0.2">
      <c r="A136" s="27"/>
      <c r="B136" s="27"/>
      <c r="C136" s="168"/>
      <c r="D136" s="27"/>
      <c r="E136" s="27"/>
      <c r="F136" s="19"/>
      <c r="G136" s="19"/>
    </row>
    <row r="137" spans="1:7" x14ac:dyDescent="0.2">
      <c r="A137" s="27"/>
      <c r="B137" s="27"/>
      <c r="C137" s="168"/>
      <c r="D137" s="51"/>
      <c r="E137" s="51"/>
      <c r="F137" s="19"/>
      <c r="G137" s="19"/>
    </row>
    <row r="138" spans="1:7" x14ac:dyDescent="0.2">
      <c r="A138" s="27"/>
      <c r="B138" s="27"/>
      <c r="C138" s="168"/>
      <c r="D138" s="189" t="s">
        <v>167</v>
      </c>
      <c r="E138" s="189"/>
      <c r="F138" s="189"/>
      <c r="G138" s="189"/>
    </row>
    <row r="139" spans="1:7" x14ac:dyDescent="0.2">
      <c r="A139" s="51"/>
      <c r="B139" s="51"/>
      <c r="C139" s="51"/>
      <c r="D139" s="191" t="s">
        <v>168</v>
      </c>
      <c r="E139" s="191"/>
      <c r="F139" s="191"/>
      <c r="G139" s="191"/>
    </row>
    <row r="140" spans="1:7" x14ac:dyDescent="0.2">
      <c r="A140" s="51"/>
      <c r="B140" s="51"/>
      <c r="C140" s="51"/>
      <c r="D140" s="168"/>
      <c r="E140" s="168"/>
      <c r="F140" s="168"/>
      <c r="G140" s="168"/>
    </row>
    <row r="141" spans="1:7" x14ac:dyDescent="0.2">
      <c r="A141" s="51"/>
      <c r="B141" s="51"/>
      <c r="C141" s="51"/>
      <c r="D141" s="168"/>
      <c r="E141" s="168"/>
      <c r="F141" s="168"/>
      <c r="G141" s="168"/>
    </row>
    <row r="142" spans="1:7" x14ac:dyDescent="0.2">
      <c r="A142" s="27"/>
      <c r="B142" s="27"/>
      <c r="C142" s="168"/>
      <c r="D142" s="27" t="s">
        <v>262</v>
      </c>
      <c r="E142" s="27"/>
      <c r="F142" s="19"/>
      <c r="G142" s="19"/>
    </row>
    <row r="143" spans="1:7" x14ac:dyDescent="0.2">
      <c r="A143" s="27"/>
      <c r="B143" s="27"/>
      <c r="C143" s="168"/>
      <c r="D143" s="27"/>
      <c r="E143" s="27"/>
      <c r="F143" s="19"/>
      <c r="G143" s="19"/>
    </row>
    <row r="144" spans="1:7" x14ac:dyDescent="0.2">
      <c r="A144" s="27"/>
      <c r="B144" s="27"/>
      <c r="C144" s="168"/>
      <c r="D144" s="51"/>
      <c r="E144" s="51"/>
      <c r="F144" s="19"/>
      <c r="G144" s="19"/>
    </row>
    <row r="145" spans="1:7" x14ac:dyDescent="0.2">
      <c r="A145" s="27"/>
      <c r="B145" s="27"/>
      <c r="C145" s="168"/>
      <c r="D145" s="189" t="s">
        <v>170</v>
      </c>
      <c r="E145" s="189"/>
      <c r="F145" s="189"/>
      <c r="G145" s="189"/>
    </row>
    <row r="146" spans="1:7" x14ac:dyDescent="0.2">
      <c r="A146" s="51"/>
      <c r="B146" s="51"/>
      <c r="C146" s="51"/>
      <c r="D146" s="191" t="s">
        <v>263</v>
      </c>
      <c r="E146" s="191"/>
      <c r="F146" s="191"/>
      <c r="G146" s="191"/>
    </row>
    <row r="147" spans="1:7" x14ac:dyDescent="0.2">
      <c r="A147" s="51"/>
      <c r="B147" s="51"/>
      <c r="C147" s="51"/>
      <c r="D147" s="168"/>
      <c r="E147" s="168"/>
      <c r="F147" s="168"/>
      <c r="G147" s="168"/>
    </row>
    <row r="148" spans="1:7" x14ac:dyDescent="0.2">
      <c r="A148" s="191" t="s">
        <v>169</v>
      </c>
      <c r="B148" s="191"/>
      <c r="C148" s="191"/>
      <c r="D148" s="191"/>
      <c r="E148" s="191"/>
      <c r="F148" s="191"/>
      <c r="G148" s="191"/>
    </row>
    <row r="149" spans="1:7" x14ac:dyDescent="0.2">
      <c r="A149" s="27"/>
      <c r="B149" s="27"/>
      <c r="C149" s="51"/>
      <c r="D149" s="51"/>
      <c r="E149" s="51"/>
      <c r="F149" s="19"/>
      <c r="G149" s="19"/>
    </row>
    <row r="150" spans="1:7" ht="15" customHeight="1" x14ac:dyDescent="0.2">
      <c r="A150" s="189" t="s">
        <v>171</v>
      </c>
      <c r="B150" s="189"/>
      <c r="C150" s="189"/>
      <c r="D150" s="189"/>
      <c r="E150" s="189"/>
      <c r="F150" s="189"/>
      <c r="G150" s="189"/>
    </row>
    <row r="151" spans="1:7" x14ac:dyDescent="0.2">
      <c r="A151" s="189"/>
      <c r="B151" s="189"/>
      <c r="C151" s="189"/>
      <c r="D151" s="189"/>
      <c r="E151" s="189"/>
      <c r="F151" s="189"/>
      <c r="G151" s="189"/>
    </row>
    <row r="152" spans="1:7" ht="15" customHeight="1" x14ac:dyDescent="0.2">
      <c r="A152" s="192" t="s">
        <v>172</v>
      </c>
      <c r="B152" s="192"/>
      <c r="C152" s="192"/>
      <c r="D152" s="192"/>
      <c r="E152" s="192"/>
      <c r="F152" s="192"/>
      <c r="G152" s="192"/>
    </row>
    <row r="170" spans="1:7" x14ac:dyDescent="0.2">
      <c r="A170" s="188" t="s">
        <v>173</v>
      </c>
      <c r="B170" s="188"/>
      <c r="C170" s="188"/>
      <c r="D170" s="188"/>
      <c r="E170" s="188"/>
      <c r="F170" s="188"/>
      <c r="G170" s="188"/>
    </row>
    <row r="171" spans="1:7" x14ac:dyDescent="0.2">
      <c r="A171" s="166"/>
      <c r="B171" s="166"/>
      <c r="C171" s="166"/>
      <c r="D171" s="166"/>
      <c r="E171" s="166"/>
      <c r="F171" s="166"/>
      <c r="G171" s="166"/>
    </row>
    <row r="172" spans="1:7" x14ac:dyDescent="0.2">
      <c r="A172" s="166"/>
      <c r="B172" s="166"/>
      <c r="C172" s="166"/>
      <c r="D172" s="166"/>
      <c r="F172" s="166"/>
      <c r="G172" s="166"/>
    </row>
    <row r="173" spans="1:7" x14ac:dyDescent="0.2">
      <c r="A173" s="166"/>
      <c r="B173" s="166"/>
      <c r="C173" s="166"/>
      <c r="D173" s="166"/>
      <c r="E173" s="166"/>
      <c r="F173" s="166"/>
      <c r="G173" s="166"/>
    </row>
    <row r="174" spans="1:7" x14ac:dyDescent="0.2">
      <c r="A174" s="166"/>
      <c r="B174" s="166"/>
      <c r="C174" s="166"/>
      <c r="D174" s="166"/>
      <c r="E174" s="166"/>
      <c r="F174" s="166"/>
      <c r="G174" s="166"/>
    </row>
    <row r="175" spans="1:7" x14ac:dyDescent="0.2">
      <c r="A175" s="166"/>
      <c r="B175" s="166"/>
      <c r="C175" s="166"/>
      <c r="D175" s="166"/>
      <c r="F175" s="166"/>
      <c r="G175" s="166"/>
    </row>
    <row r="176" spans="1:7" x14ac:dyDescent="0.2">
      <c r="A176" s="166"/>
      <c r="B176" s="166"/>
      <c r="C176" s="166"/>
      <c r="D176" s="166"/>
      <c r="E176" s="166"/>
      <c r="F176" s="166"/>
      <c r="G176" s="166"/>
    </row>
    <row r="177" spans="1:7" x14ac:dyDescent="0.2">
      <c r="A177" s="166"/>
      <c r="B177" s="166"/>
      <c r="C177" s="166"/>
      <c r="D177" s="166"/>
      <c r="E177" s="166"/>
      <c r="F177" s="166"/>
      <c r="G177" s="166"/>
    </row>
    <row r="178" spans="1:7" x14ac:dyDescent="0.2">
      <c r="A178" s="166"/>
      <c r="B178" s="166"/>
      <c r="C178" s="166"/>
      <c r="D178" s="166"/>
      <c r="E178" s="166"/>
      <c r="F178" s="166"/>
      <c r="G178" s="166"/>
    </row>
    <row r="179" spans="1:7" x14ac:dyDescent="0.2">
      <c r="A179" s="166"/>
      <c r="B179" s="166"/>
      <c r="C179" s="166"/>
      <c r="D179" s="166"/>
      <c r="E179" s="166"/>
      <c r="F179" s="166"/>
      <c r="G179" s="166"/>
    </row>
    <row r="180" spans="1:7" x14ac:dyDescent="0.2">
      <c r="A180" s="166"/>
      <c r="B180" s="166"/>
      <c r="C180" s="166"/>
      <c r="D180" s="166"/>
      <c r="E180" s="166"/>
      <c r="F180" s="166"/>
      <c r="G180" s="166"/>
    </row>
    <row r="181" spans="1:7" x14ac:dyDescent="0.2">
      <c r="A181" s="166"/>
      <c r="B181" s="166"/>
      <c r="C181" s="166"/>
      <c r="D181" s="166"/>
      <c r="E181" s="166"/>
      <c r="F181" s="166"/>
      <c r="G181" s="166"/>
    </row>
    <row r="182" spans="1:7" x14ac:dyDescent="0.2">
      <c r="A182" s="166"/>
      <c r="B182" s="166"/>
      <c r="C182" s="166"/>
      <c r="D182" s="166"/>
      <c r="E182" s="166"/>
      <c r="F182" s="166"/>
      <c r="G182" s="166"/>
    </row>
    <row r="183" spans="1:7" x14ac:dyDescent="0.2">
      <c r="A183" s="166"/>
      <c r="B183" s="166"/>
      <c r="C183" s="166"/>
      <c r="D183" s="166"/>
      <c r="E183" s="166"/>
      <c r="F183" s="166"/>
      <c r="G183" s="166"/>
    </row>
    <row r="184" spans="1:7" x14ac:dyDescent="0.2">
      <c r="A184" s="166"/>
      <c r="B184" s="166"/>
      <c r="C184" s="166"/>
      <c r="D184" s="166"/>
      <c r="E184" s="166"/>
      <c r="F184" s="166"/>
      <c r="G184" s="166"/>
    </row>
    <row r="185" spans="1:7" x14ac:dyDescent="0.2">
      <c r="A185" s="188"/>
      <c r="B185" s="188"/>
      <c r="C185" s="188"/>
      <c r="D185" s="188"/>
      <c r="E185" s="188"/>
      <c r="F185" s="188"/>
      <c r="G185" s="188"/>
    </row>
    <row r="186" spans="1:7" x14ac:dyDescent="0.2">
      <c r="A186" s="188"/>
      <c r="B186" s="188"/>
      <c r="C186" s="188"/>
      <c r="D186" s="188"/>
      <c r="E186" s="188"/>
      <c r="F186" s="188"/>
      <c r="G186" s="188"/>
    </row>
    <row r="188" spans="1:7" x14ac:dyDescent="0.2">
      <c r="A188" s="188"/>
      <c r="B188" s="188"/>
      <c r="C188" s="188"/>
      <c r="D188" s="188"/>
      <c r="E188" s="188"/>
      <c r="F188" s="188"/>
      <c r="G188" s="188"/>
    </row>
    <row r="189" spans="1:7" x14ac:dyDescent="0.2">
      <c r="A189" s="188"/>
      <c r="B189" s="188"/>
      <c r="C189" s="188"/>
      <c r="D189" s="188"/>
      <c r="E189" s="188"/>
      <c r="F189" s="188"/>
      <c r="G189" s="188"/>
    </row>
    <row r="190" spans="1:7" x14ac:dyDescent="0.2">
      <c r="A190" s="166"/>
      <c r="B190" s="166"/>
      <c r="C190" s="166"/>
      <c r="D190" s="166"/>
      <c r="E190" s="166"/>
    </row>
    <row r="191" spans="1:7" ht="15" x14ac:dyDescent="0.25">
      <c r="D191" s="139"/>
      <c r="G191" s="144"/>
    </row>
    <row r="192" spans="1:7" x14ac:dyDescent="0.2">
      <c r="B192" s="136"/>
      <c r="C192" s="136"/>
    </row>
    <row r="193" spans="2:7" x14ac:dyDescent="0.2">
      <c r="B193" s="136"/>
      <c r="C193" s="136"/>
    </row>
    <row r="194" spans="2:7" x14ac:dyDescent="0.2">
      <c r="B194" s="136"/>
      <c r="C194" s="136"/>
    </row>
    <row r="195" spans="2:7" x14ac:dyDescent="0.2">
      <c r="B195" s="136"/>
      <c r="C195" s="136"/>
      <c r="D195" s="145"/>
    </row>
    <row r="196" spans="2:7" x14ac:dyDescent="0.2">
      <c r="B196" s="136"/>
      <c r="C196" s="136"/>
      <c r="D196" s="145"/>
    </row>
    <row r="197" spans="2:7" x14ac:dyDescent="0.2">
      <c r="B197" s="136"/>
      <c r="C197" s="136"/>
      <c r="D197" s="145"/>
      <c r="E197" s="133"/>
    </row>
    <row r="198" spans="2:7" ht="15" x14ac:dyDescent="0.25">
      <c r="B198" s="136"/>
      <c r="C198" s="135"/>
      <c r="D198" s="145"/>
    </row>
    <row r="199" spans="2:7" ht="15" x14ac:dyDescent="0.25">
      <c r="B199" s="136"/>
      <c r="C199" s="137"/>
      <c r="G199" s="139"/>
    </row>
    <row r="200" spans="2:7" ht="15" x14ac:dyDescent="0.25">
      <c r="B200" s="136"/>
      <c r="C200" s="137"/>
      <c r="G200" s="146"/>
    </row>
    <row r="201" spans="2:7" x14ac:dyDescent="0.2">
      <c r="B201" s="136"/>
      <c r="C201" s="136"/>
    </row>
    <row r="202" spans="2:7" x14ac:dyDescent="0.2">
      <c r="B202" s="136"/>
      <c r="C202" s="136"/>
    </row>
    <row r="203" spans="2:7" x14ac:dyDescent="0.2">
      <c r="B203" s="136"/>
      <c r="C203" s="136"/>
      <c r="G203" s="133"/>
    </row>
    <row r="204" spans="2:7" ht="15" x14ac:dyDescent="0.25">
      <c r="B204" s="136"/>
      <c r="C204" s="131"/>
      <c r="G204" s="147"/>
    </row>
    <row r="206" spans="2:7" x14ac:dyDescent="0.2">
      <c r="C206" s="148"/>
    </row>
    <row r="208" spans="2:7" x14ac:dyDescent="0.2">
      <c r="B208" s="136"/>
      <c r="C208" s="136"/>
      <c r="D208" s="140"/>
    </row>
    <row r="209" spans="1:7" x14ac:dyDescent="0.2">
      <c r="B209" s="136"/>
      <c r="C209" s="136"/>
      <c r="D209" s="149"/>
      <c r="E209" s="149"/>
    </row>
    <row r="210" spans="1:7" x14ac:dyDescent="0.2">
      <c r="B210" s="136"/>
      <c r="C210" s="136"/>
      <c r="D210" s="140"/>
      <c r="E210" s="140"/>
    </row>
    <row r="211" spans="1:7" ht="15" x14ac:dyDescent="0.25">
      <c r="A211" s="131"/>
      <c r="B211" s="131"/>
      <c r="C211" s="131"/>
      <c r="D211" s="150"/>
      <c r="G211" s="150"/>
    </row>
    <row r="215" spans="1:7" x14ac:dyDescent="0.2">
      <c r="A215" s="136"/>
      <c r="B215" s="143"/>
      <c r="C215" s="143"/>
      <c r="D215" s="171"/>
      <c r="E215" s="171"/>
    </row>
    <row r="216" spans="1:7" x14ac:dyDescent="0.2">
      <c r="A216" s="136"/>
      <c r="B216" s="143"/>
      <c r="C216" s="171"/>
      <c r="D216" s="171"/>
      <c r="E216" s="171"/>
    </row>
    <row r="217" spans="1:7" x14ac:dyDescent="0.2">
      <c r="A217" s="136"/>
      <c r="B217" s="143"/>
      <c r="C217" s="171"/>
      <c r="D217" s="136"/>
      <c r="E217" s="136"/>
    </row>
    <row r="218" spans="1:7" x14ac:dyDescent="0.2">
      <c r="A218" s="136"/>
      <c r="B218" s="136"/>
      <c r="C218" s="171"/>
      <c r="D218" s="142"/>
      <c r="E218" s="171"/>
    </row>
    <row r="219" spans="1:7" x14ac:dyDescent="0.2">
      <c r="A219" s="136"/>
      <c r="B219" s="136"/>
      <c r="C219" s="171"/>
      <c r="D219" s="142"/>
      <c r="E219" s="171"/>
    </row>
    <row r="220" spans="1:7" x14ac:dyDescent="0.2">
      <c r="A220" s="136"/>
      <c r="B220" s="136"/>
      <c r="C220" s="171"/>
      <c r="D220" s="143"/>
      <c r="E220" s="143"/>
    </row>
    <row r="221" spans="1:7" x14ac:dyDescent="0.2">
      <c r="A221" s="136"/>
      <c r="B221" s="136"/>
      <c r="C221" s="171"/>
      <c r="D221" s="186"/>
      <c r="E221" s="186"/>
      <c r="F221" s="186"/>
      <c r="G221" s="186"/>
    </row>
    <row r="222" spans="1:7" x14ac:dyDescent="0.2">
      <c r="A222" s="136"/>
      <c r="B222" s="136"/>
      <c r="C222" s="171"/>
      <c r="D222" s="186"/>
      <c r="E222" s="186"/>
      <c r="F222" s="186"/>
      <c r="G222" s="186"/>
    </row>
    <row r="223" spans="1:7" x14ac:dyDescent="0.2">
      <c r="A223" s="136"/>
      <c r="B223" s="136"/>
      <c r="C223" s="171"/>
      <c r="D223" s="136"/>
      <c r="E223" s="136"/>
    </row>
    <row r="224" spans="1:7" x14ac:dyDescent="0.2">
      <c r="A224" s="136"/>
      <c r="B224" s="136"/>
      <c r="C224" s="171"/>
      <c r="D224" s="136"/>
      <c r="E224" s="136"/>
    </row>
    <row r="225" spans="1:7" x14ac:dyDescent="0.2">
      <c r="A225" s="136"/>
      <c r="B225" s="136"/>
      <c r="C225" s="171"/>
      <c r="D225" s="143"/>
      <c r="E225" s="143"/>
    </row>
    <row r="226" spans="1:7" x14ac:dyDescent="0.2">
      <c r="A226" s="136"/>
      <c r="B226" s="136"/>
      <c r="C226" s="171"/>
      <c r="D226" s="186"/>
      <c r="E226" s="186"/>
      <c r="F226" s="186"/>
      <c r="G226" s="186"/>
    </row>
    <row r="227" spans="1:7" x14ac:dyDescent="0.2">
      <c r="A227" s="143"/>
      <c r="B227" s="143"/>
      <c r="C227" s="143"/>
      <c r="D227" s="186"/>
      <c r="E227" s="186"/>
      <c r="F227" s="186"/>
      <c r="G227" s="186"/>
    </row>
    <row r="228" spans="1:7" x14ac:dyDescent="0.2">
      <c r="A228" s="143"/>
      <c r="B228" s="143"/>
      <c r="C228" s="143"/>
      <c r="D228" s="171"/>
      <c r="E228" s="171"/>
      <c r="F228" s="171"/>
      <c r="G228" s="171"/>
    </row>
    <row r="229" spans="1:7" x14ac:dyDescent="0.2">
      <c r="A229" s="186"/>
      <c r="B229" s="186"/>
      <c r="C229" s="186"/>
      <c r="D229" s="186"/>
      <c r="E229" s="186"/>
      <c r="F229" s="186"/>
      <c r="G229" s="186"/>
    </row>
    <row r="230" spans="1:7" x14ac:dyDescent="0.2">
      <c r="A230" s="136"/>
      <c r="B230" s="136"/>
      <c r="C230" s="143"/>
      <c r="D230" s="143"/>
      <c r="E230" s="143"/>
    </row>
    <row r="231" spans="1:7" x14ac:dyDescent="0.2">
      <c r="A231" s="186"/>
      <c r="B231" s="186"/>
      <c r="C231" s="186"/>
      <c r="D231" s="186"/>
      <c r="E231" s="186"/>
      <c r="F231" s="186"/>
      <c r="G231" s="186"/>
    </row>
    <row r="232" spans="1:7" x14ac:dyDescent="0.2">
      <c r="A232" s="186"/>
      <c r="B232" s="186"/>
      <c r="C232" s="186"/>
      <c r="D232" s="186"/>
      <c r="E232" s="186"/>
      <c r="F232" s="186"/>
      <c r="G232" s="186"/>
    </row>
  </sheetData>
  <mergeCells count="28">
    <mergeCell ref="A1:G1"/>
    <mergeCell ref="A2:G2"/>
    <mergeCell ref="A3:G3"/>
    <mergeCell ref="A5:G5"/>
    <mergeCell ref="A170:G170"/>
    <mergeCell ref="D131:G131"/>
    <mergeCell ref="D132:G132"/>
    <mergeCell ref="A148:G148"/>
    <mergeCell ref="A150:G151"/>
    <mergeCell ref="A152:G152"/>
    <mergeCell ref="D145:G145"/>
    <mergeCell ref="D146:G146"/>
    <mergeCell ref="D138:G138"/>
    <mergeCell ref="D139:G139"/>
    <mergeCell ref="A231:C231"/>
    <mergeCell ref="D231:G231"/>
    <mergeCell ref="A232:C232"/>
    <mergeCell ref="D232:G232"/>
    <mergeCell ref="A6:G6"/>
    <mergeCell ref="A185:G185"/>
    <mergeCell ref="A186:G186"/>
    <mergeCell ref="A188:G188"/>
    <mergeCell ref="A189:G189"/>
    <mergeCell ref="D221:G221"/>
    <mergeCell ref="D222:G222"/>
    <mergeCell ref="D226:G226"/>
    <mergeCell ref="D227:G227"/>
    <mergeCell ref="A229:G229"/>
  </mergeCells>
  <pageMargins left="0.7" right="0.7" top="0.75" bottom="0.75" header="0.3" footer="0.3"/>
  <pageSetup paperSize="14" scale="57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4684-B68E-4ABC-8F88-7A0379D00DF5}">
  <dimension ref="A1:H236"/>
  <sheetViews>
    <sheetView workbookViewId="0">
      <selection sqref="A1:XFD1048576"/>
    </sheetView>
  </sheetViews>
  <sheetFormatPr defaultRowHeight="14.25" x14ac:dyDescent="0.2"/>
  <cols>
    <col min="1" max="1" width="6.28515625" style="130" customWidth="1"/>
    <col min="2" max="2" width="3.7109375" style="130" customWidth="1"/>
    <col min="3" max="3" width="41.7109375" style="130" customWidth="1"/>
    <col min="4" max="4" width="2.42578125" style="130" customWidth="1"/>
    <col min="5" max="5" width="16.140625" style="130" bestFit="1" customWidth="1"/>
    <col min="6" max="6" width="3.85546875" style="130" customWidth="1"/>
    <col min="7" max="7" width="41.140625" style="130" customWidth="1"/>
    <col min="8" max="8" width="41.5703125" style="130" customWidth="1"/>
    <col min="9" max="256" width="9.140625" style="130"/>
    <col min="257" max="257" width="5.85546875" style="130" customWidth="1"/>
    <col min="258" max="258" width="3.7109375" style="130" customWidth="1"/>
    <col min="259" max="259" width="39" style="130" customWidth="1"/>
    <col min="260" max="260" width="2.42578125" style="130" customWidth="1"/>
    <col min="261" max="261" width="14.140625" style="130" customWidth="1"/>
    <col min="262" max="262" width="2" style="130" customWidth="1"/>
    <col min="263" max="263" width="41.140625" style="130" customWidth="1"/>
    <col min="264" max="264" width="41.5703125" style="130" customWidth="1"/>
    <col min="265" max="512" width="9.140625" style="130"/>
    <col min="513" max="513" width="5.85546875" style="130" customWidth="1"/>
    <col min="514" max="514" width="3.7109375" style="130" customWidth="1"/>
    <col min="515" max="515" width="39" style="130" customWidth="1"/>
    <col min="516" max="516" width="2.42578125" style="130" customWidth="1"/>
    <col min="517" max="517" width="14.140625" style="130" customWidth="1"/>
    <col min="518" max="518" width="2" style="130" customWidth="1"/>
    <col min="519" max="519" width="41.140625" style="130" customWidth="1"/>
    <col min="520" max="520" width="41.5703125" style="130" customWidth="1"/>
    <col min="521" max="768" width="9.140625" style="130"/>
    <col min="769" max="769" width="5.85546875" style="130" customWidth="1"/>
    <col min="770" max="770" width="3.7109375" style="130" customWidth="1"/>
    <col min="771" max="771" width="39" style="130" customWidth="1"/>
    <col min="772" max="772" width="2.42578125" style="130" customWidth="1"/>
    <col min="773" max="773" width="14.140625" style="130" customWidth="1"/>
    <col min="774" max="774" width="2" style="130" customWidth="1"/>
    <col min="775" max="775" width="41.140625" style="130" customWidth="1"/>
    <col min="776" max="776" width="41.5703125" style="130" customWidth="1"/>
    <col min="777" max="1024" width="9.140625" style="130"/>
    <col min="1025" max="1025" width="5.85546875" style="130" customWidth="1"/>
    <col min="1026" max="1026" width="3.7109375" style="130" customWidth="1"/>
    <col min="1027" max="1027" width="39" style="130" customWidth="1"/>
    <col min="1028" max="1028" width="2.42578125" style="130" customWidth="1"/>
    <col min="1029" max="1029" width="14.140625" style="130" customWidth="1"/>
    <col min="1030" max="1030" width="2" style="130" customWidth="1"/>
    <col min="1031" max="1031" width="41.140625" style="130" customWidth="1"/>
    <col min="1032" max="1032" width="41.5703125" style="130" customWidth="1"/>
    <col min="1033" max="1280" width="9.140625" style="130"/>
    <col min="1281" max="1281" width="5.85546875" style="130" customWidth="1"/>
    <col min="1282" max="1282" width="3.7109375" style="130" customWidth="1"/>
    <col min="1283" max="1283" width="39" style="130" customWidth="1"/>
    <col min="1284" max="1284" width="2.42578125" style="130" customWidth="1"/>
    <col min="1285" max="1285" width="14.140625" style="130" customWidth="1"/>
    <col min="1286" max="1286" width="2" style="130" customWidth="1"/>
    <col min="1287" max="1287" width="41.140625" style="130" customWidth="1"/>
    <col min="1288" max="1288" width="41.5703125" style="130" customWidth="1"/>
    <col min="1289" max="1536" width="9.140625" style="130"/>
    <col min="1537" max="1537" width="5.85546875" style="130" customWidth="1"/>
    <col min="1538" max="1538" width="3.7109375" style="130" customWidth="1"/>
    <col min="1539" max="1539" width="39" style="130" customWidth="1"/>
    <col min="1540" max="1540" width="2.42578125" style="130" customWidth="1"/>
    <col min="1541" max="1541" width="14.140625" style="130" customWidth="1"/>
    <col min="1542" max="1542" width="2" style="130" customWidth="1"/>
    <col min="1543" max="1543" width="41.140625" style="130" customWidth="1"/>
    <col min="1544" max="1544" width="41.5703125" style="130" customWidth="1"/>
    <col min="1545" max="1792" width="9.140625" style="130"/>
    <col min="1793" max="1793" width="5.85546875" style="130" customWidth="1"/>
    <col min="1794" max="1794" width="3.7109375" style="130" customWidth="1"/>
    <col min="1795" max="1795" width="39" style="130" customWidth="1"/>
    <col min="1796" max="1796" width="2.42578125" style="130" customWidth="1"/>
    <col min="1797" max="1797" width="14.140625" style="130" customWidth="1"/>
    <col min="1798" max="1798" width="2" style="130" customWidth="1"/>
    <col min="1799" max="1799" width="41.140625" style="130" customWidth="1"/>
    <col min="1800" max="1800" width="41.5703125" style="130" customWidth="1"/>
    <col min="1801" max="2048" width="9.140625" style="130"/>
    <col min="2049" max="2049" width="5.85546875" style="130" customWidth="1"/>
    <col min="2050" max="2050" width="3.7109375" style="130" customWidth="1"/>
    <col min="2051" max="2051" width="39" style="130" customWidth="1"/>
    <col min="2052" max="2052" width="2.42578125" style="130" customWidth="1"/>
    <col min="2053" max="2053" width="14.140625" style="130" customWidth="1"/>
    <col min="2054" max="2054" width="2" style="130" customWidth="1"/>
    <col min="2055" max="2055" width="41.140625" style="130" customWidth="1"/>
    <col min="2056" max="2056" width="41.5703125" style="130" customWidth="1"/>
    <col min="2057" max="2304" width="9.140625" style="130"/>
    <col min="2305" max="2305" width="5.85546875" style="130" customWidth="1"/>
    <col min="2306" max="2306" width="3.7109375" style="130" customWidth="1"/>
    <col min="2307" max="2307" width="39" style="130" customWidth="1"/>
    <col min="2308" max="2308" width="2.42578125" style="130" customWidth="1"/>
    <col min="2309" max="2309" width="14.140625" style="130" customWidth="1"/>
    <col min="2310" max="2310" width="2" style="130" customWidth="1"/>
    <col min="2311" max="2311" width="41.140625" style="130" customWidth="1"/>
    <col min="2312" max="2312" width="41.5703125" style="130" customWidth="1"/>
    <col min="2313" max="2560" width="9.140625" style="130"/>
    <col min="2561" max="2561" width="5.85546875" style="130" customWidth="1"/>
    <col min="2562" max="2562" width="3.7109375" style="130" customWidth="1"/>
    <col min="2563" max="2563" width="39" style="130" customWidth="1"/>
    <col min="2564" max="2564" width="2.42578125" style="130" customWidth="1"/>
    <col min="2565" max="2565" width="14.140625" style="130" customWidth="1"/>
    <col min="2566" max="2566" width="2" style="130" customWidth="1"/>
    <col min="2567" max="2567" width="41.140625" style="130" customWidth="1"/>
    <col min="2568" max="2568" width="41.5703125" style="130" customWidth="1"/>
    <col min="2569" max="2816" width="9.140625" style="130"/>
    <col min="2817" max="2817" width="5.85546875" style="130" customWidth="1"/>
    <col min="2818" max="2818" width="3.7109375" style="130" customWidth="1"/>
    <col min="2819" max="2819" width="39" style="130" customWidth="1"/>
    <col min="2820" max="2820" width="2.42578125" style="130" customWidth="1"/>
    <col min="2821" max="2821" width="14.140625" style="130" customWidth="1"/>
    <col min="2822" max="2822" width="2" style="130" customWidth="1"/>
    <col min="2823" max="2823" width="41.140625" style="130" customWidth="1"/>
    <col min="2824" max="2824" width="41.5703125" style="130" customWidth="1"/>
    <col min="2825" max="3072" width="9.140625" style="130"/>
    <col min="3073" max="3073" width="5.85546875" style="130" customWidth="1"/>
    <col min="3074" max="3074" width="3.7109375" style="130" customWidth="1"/>
    <col min="3075" max="3075" width="39" style="130" customWidth="1"/>
    <col min="3076" max="3076" width="2.42578125" style="130" customWidth="1"/>
    <col min="3077" max="3077" width="14.140625" style="130" customWidth="1"/>
    <col min="3078" max="3078" width="2" style="130" customWidth="1"/>
    <col min="3079" max="3079" width="41.140625" style="130" customWidth="1"/>
    <col min="3080" max="3080" width="41.5703125" style="130" customWidth="1"/>
    <col min="3081" max="3328" width="9.140625" style="130"/>
    <col min="3329" max="3329" width="5.85546875" style="130" customWidth="1"/>
    <col min="3330" max="3330" width="3.7109375" style="130" customWidth="1"/>
    <col min="3331" max="3331" width="39" style="130" customWidth="1"/>
    <col min="3332" max="3332" width="2.42578125" style="130" customWidth="1"/>
    <col min="3333" max="3333" width="14.140625" style="130" customWidth="1"/>
    <col min="3334" max="3334" width="2" style="130" customWidth="1"/>
    <col min="3335" max="3335" width="41.140625" style="130" customWidth="1"/>
    <col min="3336" max="3336" width="41.5703125" style="130" customWidth="1"/>
    <col min="3337" max="3584" width="9.140625" style="130"/>
    <col min="3585" max="3585" width="5.85546875" style="130" customWidth="1"/>
    <col min="3586" max="3586" width="3.7109375" style="130" customWidth="1"/>
    <col min="3587" max="3587" width="39" style="130" customWidth="1"/>
    <col min="3588" max="3588" width="2.42578125" style="130" customWidth="1"/>
    <col min="3589" max="3589" width="14.140625" style="130" customWidth="1"/>
    <col min="3590" max="3590" width="2" style="130" customWidth="1"/>
    <col min="3591" max="3591" width="41.140625" style="130" customWidth="1"/>
    <col min="3592" max="3592" width="41.5703125" style="130" customWidth="1"/>
    <col min="3593" max="3840" width="9.140625" style="130"/>
    <col min="3841" max="3841" width="5.85546875" style="130" customWidth="1"/>
    <col min="3842" max="3842" width="3.7109375" style="130" customWidth="1"/>
    <col min="3843" max="3843" width="39" style="130" customWidth="1"/>
    <col min="3844" max="3844" width="2.42578125" style="130" customWidth="1"/>
    <col min="3845" max="3845" width="14.140625" style="130" customWidth="1"/>
    <col min="3846" max="3846" width="2" style="130" customWidth="1"/>
    <col min="3847" max="3847" width="41.140625" style="130" customWidth="1"/>
    <col min="3848" max="3848" width="41.5703125" style="130" customWidth="1"/>
    <col min="3849" max="4096" width="9.140625" style="130"/>
    <col min="4097" max="4097" width="5.85546875" style="130" customWidth="1"/>
    <col min="4098" max="4098" width="3.7109375" style="130" customWidth="1"/>
    <col min="4099" max="4099" width="39" style="130" customWidth="1"/>
    <col min="4100" max="4100" width="2.42578125" style="130" customWidth="1"/>
    <col min="4101" max="4101" width="14.140625" style="130" customWidth="1"/>
    <col min="4102" max="4102" width="2" style="130" customWidth="1"/>
    <col min="4103" max="4103" width="41.140625" style="130" customWidth="1"/>
    <col min="4104" max="4104" width="41.5703125" style="130" customWidth="1"/>
    <col min="4105" max="4352" width="9.140625" style="130"/>
    <col min="4353" max="4353" width="5.85546875" style="130" customWidth="1"/>
    <col min="4354" max="4354" width="3.7109375" style="130" customWidth="1"/>
    <col min="4355" max="4355" width="39" style="130" customWidth="1"/>
    <col min="4356" max="4356" width="2.42578125" style="130" customWidth="1"/>
    <col min="4357" max="4357" width="14.140625" style="130" customWidth="1"/>
    <col min="4358" max="4358" width="2" style="130" customWidth="1"/>
    <col min="4359" max="4359" width="41.140625" style="130" customWidth="1"/>
    <col min="4360" max="4360" width="41.5703125" style="130" customWidth="1"/>
    <col min="4361" max="4608" width="9.140625" style="130"/>
    <col min="4609" max="4609" width="5.85546875" style="130" customWidth="1"/>
    <col min="4610" max="4610" width="3.7109375" style="130" customWidth="1"/>
    <col min="4611" max="4611" width="39" style="130" customWidth="1"/>
    <col min="4612" max="4612" width="2.42578125" style="130" customWidth="1"/>
    <col min="4613" max="4613" width="14.140625" style="130" customWidth="1"/>
    <col min="4614" max="4614" width="2" style="130" customWidth="1"/>
    <col min="4615" max="4615" width="41.140625" style="130" customWidth="1"/>
    <col min="4616" max="4616" width="41.5703125" style="130" customWidth="1"/>
    <col min="4617" max="4864" width="9.140625" style="130"/>
    <col min="4865" max="4865" width="5.85546875" style="130" customWidth="1"/>
    <col min="4866" max="4866" width="3.7109375" style="130" customWidth="1"/>
    <col min="4867" max="4867" width="39" style="130" customWidth="1"/>
    <col min="4868" max="4868" width="2.42578125" style="130" customWidth="1"/>
    <col min="4869" max="4869" width="14.140625" style="130" customWidth="1"/>
    <col min="4870" max="4870" width="2" style="130" customWidth="1"/>
    <col min="4871" max="4871" width="41.140625" style="130" customWidth="1"/>
    <col min="4872" max="4872" width="41.5703125" style="130" customWidth="1"/>
    <col min="4873" max="5120" width="9.140625" style="130"/>
    <col min="5121" max="5121" width="5.85546875" style="130" customWidth="1"/>
    <col min="5122" max="5122" width="3.7109375" style="130" customWidth="1"/>
    <col min="5123" max="5123" width="39" style="130" customWidth="1"/>
    <col min="5124" max="5124" width="2.42578125" style="130" customWidth="1"/>
    <col min="5125" max="5125" width="14.140625" style="130" customWidth="1"/>
    <col min="5126" max="5126" width="2" style="130" customWidth="1"/>
    <col min="5127" max="5127" width="41.140625" style="130" customWidth="1"/>
    <col min="5128" max="5128" width="41.5703125" style="130" customWidth="1"/>
    <col min="5129" max="5376" width="9.140625" style="130"/>
    <col min="5377" max="5377" width="5.85546875" style="130" customWidth="1"/>
    <col min="5378" max="5378" width="3.7109375" style="130" customWidth="1"/>
    <col min="5379" max="5379" width="39" style="130" customWidth="1"/>
    <col min="5380" max="5380" width="2.42578125" style="130" customWidth="1"/>
    <col min="5381" max="5381" width="14.140625" style="130" customWidth="1"/>
    <col min="5382" max="5382" width="2" style="130" customWidth="1"/>
    <col min="5383" max="5383" width="41.140625" style="130" customWidth="1"/>
    <col min="5384" max="5384" width="41.5703125" style="130" customWidth="1"/>
    <col min="5385" max="5632" width="9.140625" style="130"/>
    <col min="5633" max="5633" width="5.85546875" style="130" customWidth="1"/>
    <col min="5634" max="5634" width="3.7109375" style="130" customWidth="1"/>
    <col min="5635" max="5635" width="39" style="130" customWidth="1"/>
    <col min="5636" max="5636" width="2.42578125" style="130" customWidth="1"/>
    <col min="5637" max="5637" width="14.140625" style="130" customWidth="1"/>
    <col min="5638" max="5638" width="2" style="130" customWidth="1"/>
    <col min="5639" max="5639" width="41.140625" style="130" customWidth="1"/>
    <col min="5640" max="5640" width="41.5703125" style="130" customWidth="1"/>
    <col min="5641" max="5888" width="9.140625" style="130"/>
    <col min="5889" max="5889" width="5.85546875" style="130" customWidth="1"/>
    <col min="5890" max="5890" width="3.7109375" style="130" customWidth="1"/>
    <col min="5891" max="5891" width="39" style="130" customWidth="1"/>
    <col min="5892" max="5892" width="2.42578125" style="130" customWidth="1"/>
    <col min="5893" max="5893" width="14.140625" style="130" customWidth="1"/>
    <col min="5894" max="5894" width="2" style="130" customWidth="1"/>
    <col min="5895" max="5895" width="41.140625" style="130" customWidth="1"/>
    <col min="5896" max="5896" width="41.5703125" style="130" customWidth="1"/>
    <col min="5897" max="6144" width="9.140625" style="130"/>
    <col min="6145" max="6145" width="5.85546875" style="130" customWidth="1"/>
    <col min="6146" max="6146" width="3.7109375" style="130" customWidth="1"/>
    <col min="6147" max="6147" width="39" style="130" customWidth="1"/>
    <col min="6148" max="6148" width="2.42578125" style="130" customWidth="1"/>
    <col min="6149" max="6149" width="14.140625" style="130" customWidth="1"/>
    <col min="6150" max="6150" width="2" style="130" customWidth="1"/>
    <col min="6151" max="6151" width="41.140625" style="130" customWidth="1"/>
    <col min="6152" max="6152" width="41.5703125" style="130" customWidth="1"/>
    <col min="6153" max="6400" width="9.140625" style="130"/>
    <col min="6401" max="6401" width="5.85546875" style="130" customWidth="1"/>
    <col min="6402" max="6402" width="3.7109375" style="130" customWidth="1"/>
    <col min="6403" max="6403" width="39" style="130" customWidth="1"/>
    <col min="6404" max="6404" width="2.42578125" style="130" customWidth="1"/>
    <col min="6405" max="6405" width="14.140625" style="130" customWidth="1"/>
    <col min="6406" max="6406" width="2" style="130" customWidth="1"/>
    <col min="6407" max="6407" width="41.140625" style="130" customWidth="1"/>
    <col min="6408" max="6408" width="41.5703125" style="130" customWidth="1"/>
    <col min="6409" max="6656" width="9.140625" style="130"/>
    <col min="6657" max="6657" width="5.85546875" style="130" customWidth="1"/>
    <col min="6658" max="6658" width="3.7109375" style="130" customWidth="1"/>
    <col min="6659" max="6659" width="39" style="130" customWidth="1"/>
    <col min="6660" max="6660" width="2.42578125" style="130" customWidth="1"/>
    <col min="6661" max="6661" width="14.140625" style="130" customWidth="1"/>
    <col min="6662" max="6662" width="2" style="130" customWidth="1"/>
    <col min="6663" max="6663" width="41.140625" style="130" customWidth="1"/>
    <col min="6664" max="6664" width="41.5703125" style="130" customWidth="1"/>
    <col min="6665" max="6912" width="9.140625" style="130"/>
    <col min="6913" max="6913" width="5.85546875" style="130" customWidth="1"/>
    <col min="6914" max="6914" width="3.7109375" style="130" customWidth="1"/>
    <col min="6915" max="6915" width="39" style="130" customWidth="1"/>
    <col min="6916" max="6916" width="2.42578125" style="130" customWidth="1"/>
    <col min="6917" max="6917" width="14.140625" style="130" customWidth="1"/>
    <col min="6918" max="6918" width="2" style="130" customWidth="1"/>
    <col min="6919" max="6919" width="41.140625" style="130" customWidth="1"/>
    <col min="6920" max="6920" width="41.5703125" style="130" customWidth="1"/>
    <col min="6921" max="7168" width="9.140625" style="130"/>
    <col min="7169" max="7169" width="5.85546875" style="130" customWidth="1"/>
    <col min="7170" max="7170" width="3.7109375" style="130" customWidth="1"/>
    <col min="7171" max="7171" width="39" style="130" customWidth="1"/>
    <col min="7172" max="7172" width="2.42578125" style="130" customWidth="1"/>
    <col min="7173" max="7173" width="14.140625" style="130" customWidth="1"/>
    <col min="7174" max="7174" width="2" style="130" customWidth="1"/>
    <col min="7175" max="7175" width="41.140625" style="130" customWidth="1"/>
    <col min="7176" max="7176" width="41.5703125" style="130" customWidth="1"/>
    <col min="7177" max="7424" width="9.140625" style="130"/>
    <col min="7425" max="7425" width="5.85546875" style="130" customWidth="1"/>
    <col min="7426" max="7426" width="3.7109375" style="130" customWidth="1"/>
    <col min="7427" max="7427" width="39" style="130" customWidth="1"/>
    <col min="7428" max="7428" width="2.42578125" style="130" customWidth="1"/>
    <col min="7429" max="7429" width="14.140625" style="130" customWidth="1"/>
    <col min="7430" max="7430" width="2" style="130" customWidth="1"/>
    <col min="7431" max="7431" width="41.140625" style="130" customWidth="1"/>
    <col min="7432" max="7432" width="41.5703125" style="130" customWidth="1"/>
    <col min="7433" max="7680" width="9.140625" style="130"/>
    <col min="7681" max="7681" width="5.85546875" style="130" customWidth="1"/>
    <col min="7682" max="7682" width="3.7109375" style="130" customWidth="1"/>
    <col min="7683" max="7683" width="39" style="130" customWidth="1"/>
    <col min="7684" max="7684" width="2.42578125" style="130" customWidth="1"/>
    <col min="7685" max="7685" width="14.140625" style="130" customWidth="1"/>
    <col min="7686" max="7686" width="2" style="130" customWidth="1"/>
    <col min="7687" max="7687" width="41.140625" style="130" customWidth="1"/>
    <col min="7688" max="7688" width="41.5703125" style="130" customWidth="1"/>
    <col min="7689" max="7936" width="9.140625" style="130"/>
    <col min="7937" max="7937" width="5.85546875" style="130" customWidth="1"/>
    <col min="7938" max="7938" width="3.7109375" style="130" customWidth="1"/>
    <col min="7939" max="7939" width="39" style="130" customWidth="1"/>
    <col min="7940" max="7940" width="2.42578125" style="130" customWidth="1"/>
    <col min="7941" max="7941" width="14.140625" style="130" customWidth="1"/>
    <col min="7942" max="7942" width="2" style="130" customWidth="1"/>
    <col min="7943" max="7943" width="41.140625" style="130" customWidth="1"/>
    <col min="7944" max="7944" width="41.5703125" style="130" customWidth="1"/>
    <col min="7945" max="8192" width="9.140625" style="130"/>
    <col min="8193" max="8193" width="5.85546875" style="130" customWidth="1"/>
    <col min="8194" max="8194" width="3.7109375" style="130" customWidth="1"/>
    <col min="8195" max="8195" width="39" style="130" customWidth="1"/>
    <col min="8196" max="8196" width="2.42578125" style="130" customWidth="1"/>
    <col min="8197" max="8197" width="14.140625" style="130" customWidth="1"/>
    <col min="8198" max="8198" width="2" style="130" customWidth="1"/>
    <col min="8199" max="8199" width="41.140625" style="130" customWidth="1"/>
    <col min="8200" max="8200" width="41.5703125" style="130" customWidth="1"/>
    <col min="8201" max="8448" width="9.140625" style="130"/>
    <col min="8449" max="8449" width="5.85546875" style="130" customWidth="1"/>
    <col min="8450" max="8450" width="3.7109375" style="130" customWidth="1"/>
    <col min="8451" max="8451" width="39" style="130" customWidth="1"/>
    <col min="8452" max="8452" width="2.42578125" style="130" customWidth="1"/>
    <col min="8453" max="8453" width="14.140625" style="130" customWidth="1"/>
    <col min="8454" max="8454" width="2" style="130" customWidth="1"/>
    <col min="8455" max="8455" width="41.140625" style="130" customWidth="1"/>
    <col min="8456" max="8456" width="41.5703125" style="130" customWidth="1"/>
    <col min="8457" max="8704" width="9.140625" style="130"/>
    <col min="8705" max="8705" width="5.85546875" style="130" customWidth="1"/>
    <col min="8706" max="8706" width="3.7109375" style="130" customWidth="1"/>
    <col min="8707" max="8707" width="39" style="130" customWidth="1"/>
    <col min="8708" max="8708" width="2.42578125" style="130" customWidth="1"/>
    <col min="8709" max="8709" width="14.140625" style="130" customWidth="1"/>
    <col min="8710" max="8710" width="2" style="130" customWidth="1"/>
    <col min="8711" max="8711" width="41.140625" style="130" customWidth="1"/>
    <col min="8712" max="8712" width="41.5703125" style="130" customWidth="1"/>
    <col min="8713" max="8960" width="9.140625" style="130"/>
    <col min="8961" max="8961" width="5.85546875" style="130" customWidth="1"/>
    <col min="8962" max="8962" width="3.7109375" style="130" customWidth="1"/>
    <col min="8963" max="8963" width="39" style="130" customWidth="1"/>
    <col min="8964" max="8964" width="2.42578125" style="130" customWidth="1"/>
    <col min="8965" max="8965" width="14.140625" style="130" customWidth="1"/>
    <col min="8966" max="8966" width="2" style="130" customWidth="1"/>
    <col min="8967" max="8967" width="41.140625" style="130" customWidth="1"/>
    <col min="8968" max="8968" width="41.5703125" style="130" customWidth="1"/>
    <col min="8969" max="9216" width="9.140625" style="130"/>
    <col min="9217" max="9217" width="5.85546875" style="130" customWidth="1"/>
    <col min="9218" max="9218" width="3.7109375" style="130" customWidth="1"/>
    <col min="9219" max="9219" width="39" style="130" customWidth="1"/>
    <col min="9220" max="9220" width="2.42578125" style="130" customWidth="1"/>
    <col min="9221" max="9221" width="14.140625" style="130" customWidth="1"/>
    <col min="9222" max="9222" width="2" style="130" customWidth="1"/>
    <col min="9223" max="9223" width="41.140625" style="130" customWidth="1"/>
    <col min="9224" max="9224" width="41.5703125" style="130" customWidth="1"/>
    <col min="9225" max="9472" width="9.140625" style="130"/>
    <col min="9473" max="9473" width="5.85546875" style="130" customWidth="1"/>
    <col min="9474" max="9474" width="3.7109375" style="130" customWidth="1"/>
    <col min="9475" max="9475" width="39" style="130" customWidth="1"/>
    <col min="9476" max="9476" width="2.42578125" style="130" customWidth="1"/>
    <col min="9477" max="9477" width="14.140625" style="130" customWidth="1"/>
    <col min="9478" max="9478" width="2" style="130" customWidth="1"/>
    <col min="9479" max="9479" width="41.140625" style="130" customWidth="1"/>
    <col min="9480" max="9480" width="41.5703125" style="130" customWidth="1"/>
    <col min="9481" max="9728" width="9.140625" style="130"/>
    <col min="9729" max="9729" width="5.85546875" style="130" customWidth="1"/>
    <col min="9730" max="9730" width="3.7109375" style="130" customWidth="1"/>
    <col min="9731" max="9731" width="39" style="130" customWidth="1"/>
    <col min="9732" max="9732" width="2.42578125" style="130" customWidth="1"/>
    <col min="9733" max="9733" width="14.140625" style="130" customWidth="1"/>
    <col min="9734" max="9734" width="2" style="130" customWidth="1"/>
    <col min="9735" max="9735" width="41.140625" style="130" customWidth="1"/>
    <col min="9736" max="9736" width="41.5703125" style="130" customWidth="1"/>
    <col min="9737" max="9984" width="9.140625" style="130"/>
    <col min="9985" max="9985" width="5.85546875" style="130" customWidth="1"/>
    <col min="9986" max="9986" width="3.7109375" style="130" customWidth="1"/>
    <col min="9987" max="9987" width="39" style="130" customWidth="1"/>
    <col min="9988" max="9988" width="2.42578125" style="130" customWidth="1"/>
    <col min="9989" max="9989" width="14.140625" style="130" customWidth="1"/>
    <col min="9990" max="9990" width="2" style="130" customWidth="1"/>
    <col min="9991" max="9991" width="41.140625" style="130" customWidth="1"/>
    <col min="9992" max="9992" width="41.5703125" style="130" customWidth="1"/>
    <col min="9993" max="10240" width="9.140625" style="130"/>
    <col min="10241" max="10241" width="5.85546875" style="130" customWidth="1"/>
    <col min="10242" max="10242" width="3.7109375" style="130" customWidth="1"/>
    <col min="10243" max="10243" width="39" style="130" customWidth="1"/>
    <col min="10244" max="10244" width="2.42578125" style="130" customWidth="1"/>
    <col min="10245" max="10245" width="14.140625" style="130" customWidth="1"/>
    <col min="10246" max="10246" width="2" style="130" customWidth="1"/>
    <col min="10247" max="10247" width="41.140625" style="130" customWidth="1"/>
    <col min="10248" max="10248" width="41.5703125" style="130" customWidth="1"/>
    <col min="10249" max="10496" width="9.140625" style="130"/>
    <col min="10497" max="10497" width="5.85546875" style="130" customWidth="1"/>
    <col min="10498" max="10498" width="3.7109375" style="130" customWidth="1"/>
    <col min="10499" max="10499" width="39" style="130" customWidth="1"/>
    <col min="10500" max="10500" width="2.42578125" style="130" customWidth="1"/>
    <col min="10501" max="10501" width="14.140625" style="130" customWidth="1"/>
    <col min="10502" max="10502" width="2" style="130" customWidth="1"/>
    <col min="10503" max="10503" width="41.140625" style="130" customWidth="1"/>
    <col min="10504" max="10504" width="41.5703125" style="130" customWidth="1"/>
    <col min="10505" max="10752" width="9.140625" style="130"/>
    <col min="10753" max="10753" width="5.85546875" style="130" customWidth="1"/>
    <col min="10754" max="10754" width="3.7109375" style="130" customWidth="1"/>
    <col min="10755" max="10755" width="39" style="130" customWidth="1"/>
    <col min="10756" max="10756" width="2.42578125" style="130" customWidth="1"/>
    <col min="10757" max="10757" width="14.140625" style="130" customWidth="1"/>
    <col min="10758" max="10758" width="2" style="130" customWidth="1"/>
    <col min="10759" max="10759" width="41.140625" style="130" customWidth="1"/>
    <col min="10760" max="10760" width="41.5703125" style="130" customWidth="1"/>
    <col min="10761" max="11008" width="9.140625" style="130"/>
    <col min="11009" max="11009" width="5.85546875" style="130" customWidth="1"/>
    <col min="11010" max="11010" width="3.7109375" style="130" customWidth="1"/>
    <col min="11011" max="11011" width="39" style="130" customWidth="1"/>
    <col min="11012" max="11012" width="2.42578125" style="130" customWidth="1"/>
    <col min="11013" max="11013" width="14.140625" style="130" customWidth="1"/>
    <col min="11014" max="11014" width="2" style="130" customWidth="1"/>
    <col min="11015" max="11015" width="41.140625" style="130" customWidth="1"/>
    <col min="11016" max="11016" width="41.5703125" style="130" customWidth="1"/>
    <col min="11017" max="11264" width="9.140625" style="130"/>
    <col min="11265" max="11265" width="5.85546875" style="130" customWidth="1"/>
    <col min="11266" max="11266" width="3.7109375" style="130" customWidth="1"/>
    <col min="11267" max="11267" width="39" style="130" customWidth="1"/>
    <col min="11268" max="11268" width="2.42578125" style="130" customWidth="1"/>
    <col min="11269" max="11269" width="14.140625" style="130" customWidth="1"/>
    <col min="11270" max="11270" width="2" style="130" customWidth="1"/>
    <col min="11271" max="11271" width="41.140625" style="130" customWidth="1"/>
    <col min="11272" max="11272" width="41.5703125" style="130" customWidth="1"/>
    <col min="11273" max="11520" width="9.140625" style="130"/>
    <col min="11521" max="11521" width="5.85546875" style="130" customWidth="1"/>
    <col min="11522" max="11522" width="3.7109375" style="130" customWidth="1"/>
    <col min="11523" max="11523" width="39" style="130" customWidth="1"/>
    <col min="11524" max="11524" width="2.42578125" style="130" customWidth="1"/>
    <col min="11525" max="11525" width="14.140625" style="130" customWidth="1"/>
    <col min="11526" max="11526" width="2" style="130" customWidth="1"/>
    <col min="11527" max="11527" width="41.140625" style="130" customWidth="1"/>
    <col min="11528" max="11528" width="41.5703125" style="130" customWidth="1"/>
    <col min="11529" max="11776" width="9.140625" style="130"/>
    <col min="11777" max="11777" width="5.85546875" style="130" customWidth="1"/>
    <col min="11778" max="11778" width="3.7109375" style="130" customWidth="1"/>
    <col min="11779" max="11779" width="39" style="130" customWidth="1"/>
    <col min="11780" max="11780" width="2.42578125" style="130" customWidth="1"/>
    <col min="11781" max="11781" width="14.140625" style="130" customWidth="1"/>
    <col min="11782" max="11782" width="2" style="130" customWidth="1"/>
    <col min="11783" max="11783" width="41.140625" style="130" customWidth="1"/>
    <col min="11784" max="11784" width="41.5703125" style="130" customWidth="1"/>
    <col min="11785" max="12032" width="9.140625" style="130"/>
    <col min="12033" max="12033" width="5.85546875" style="130" customWidth="1"/>
    <col min="12034" max="12034" width="3.7109375" style="130" customWidth="1"/>
    <col min="12035" max="12035" width="39" style="130" customWidth="1"/>
    <col min="12036" max="12036" width="2.42578125" style="130" customWidth="1"/>
    <col min="12037" max="12037" width="14.140625" style="130" customWidth="1"/>
    <col min="12038" max="12038" width="2" style="130" customWidth="1"/>
    <col min="12039" max="12039" width="41.140625" style="130" customWidth="1"/>
    <col min="12040" max="12040" width="41.5703125" style="130" customWidth="1"/>
    <col min="12041" max="12288" width="9.140625" style="130"/>
    <col min="12289" max="12289" width="5.85546875" style="130" customWidth="1"/>
    <col min="12290" max="12290" width="3.7109375" style="130" customWidth="1"/>
    <col min="12291" max="12291" width="39" style="130" customWidth="1"/>
    <col min="12292" max="12292" width="2.42578125" style="130" customWidth="1"/>
    <col min="12293" max="12293" width="14.140625" style="130" customWidth="1"/>
    <col min="12294" max="12294" width="2" style="130" customWidth="1"/>
    <col min="12295" max="12295" width="41.140625" style="130" customWidth="1"/>
    <col min="12296" max="12296" width="41.5703125" style="130" customWidth="1"/>
    <col min="12297" max="12544" width="9.140625" style="130"/>
    <col min="12545" max="12545" width="5.85546875" style="130" customWidth="1"/>
    <col min="12546" max="12546" width="3.7109375" style="130" customWidth="1"/>
    <col min="12547" max="12547" width="39" style="130" customWidth="1"/>
    <col min="12548" max="12548" width="2.42578125" style="130" customWidth="1"/>
    <col min="12549" max="12549" width="14.140625" style="130" customWidth="1"/>
    <col min="12550" max="12550" width="2" style="130" customWidth="1"/>
    <col min="12551" max="12551" width="41.140625" style="130" customWidth="1"/>
    <col min="12552" max="12552" width="41.5703125" style="130" customWidth="1"/>
    <col min="12553" max="12800" width="9.140625" style="130"/>
    <col min="12801" max="12801" width="5.85546875" style="130" customWidth="1"/>
    <col min="12802" max="12802" width="3.7109375" style="130" customWidth="1"/>
    <col min="12803" max="12803" width="39" style="130" customWidth="1"/>
    <col min="12804" max="12804" width="2.42578125" style="130" customWidth="1"/>
    <col min="12805" max="12805" width="14.140625" style="130" customWidth="1"/>
    <col min="12806" max="12806" width="2" style="130" customWidth="1"/>
    <col min="12807" max="12807" width="41.140625" style="130" customWidth="1"/>
    <col min="12808" max="12808" width="41.5703125" style="130" customWidth="1"/>
    <col min="12809" max="13056" width="9.140625" style="130"/>
    <col min="13057" max="13057" width="5.85546875" style="130" customWidth="1"/>
    <col min="13058" max="13058" width="3.7109375" style="130" customWidth="1"/>
    <col min="13059" max="13059" width="39" style="130" customWidth="1"/>
    <col min="13060" max="13060" width="2.42578125" style="130" customWidth="1"/>
    <col min="13061" max="13061" width="14.140625" style="130" customWidth="1"/>
    <col min="13062" max="13062" width="2" style="130" customWidth="1"/>
    <col min="13063" max="13063" width="41.140625" style="130" customWidth="1"/>
    <col min="13064" max="13064" width="41.5703125" style="130" customWidth="1"/>
    <col min="13065" max="13312" width="9.140625" style="130"/>
    <col min="13313" max="13313" width="5.85546875" style="130" customWidth="1"/>
    <col min="13314" max="13314" width="3.7109375" style="130" customWidth="1"/>
    <col min="13315" max="13315" width="39" style="130" customWidth="1"/>
    <col min="13316" max="13316" width="2.42578125" style="130" customWidth="1"/>
    <col min="13317" max="13317" width="14.140625" style="130" customWidth="1"/>
    <col min="13318" max="13318" width="2" style="130" customWidth="1"/>
    <col min="13319" max="13319" width="41.140625" style="130" customWidth="1"/>
    <col min="13320" max="13320" width="41.5703125" style="130" customWidth="1"/>
    <col min="13321" max="13568" width="9.140625" style="130"/>
    <col min="13569" max="13569" width="5.85546875" style="130" customWidth="1"/>
    <col min="13570" max="13570" width="3.7109375" style="130" customWidth="1"/>
    <col min="13571" max="13571" width="39" style="130" customWidth="1"/>
    <col min="13572" max="13572" width="2.42578125" style="130" customWidth="1"/>
    <col min="13573" max="13573" width="14.140625" style="130" customWidth="1"/>
    <col min="13574" max="13574" width="2" style="130" customWidth="1"/>
    <col min="13575" max="13575" width="41.140625" style="130" customWidth="1"/>
    <col min="13576" max="13576" width="41.5703125" style="130" customWidth="1"/>
    <col min="13577" max="13824" width="9.140625" style="130"/>
    <col min="13825" max="13825" width="5.85546875" style="130" customWidth="1"/>
    <col min="13826" max="13826" width="3.7109375" style="130" customWidth="1"/>
    <col min="13827" max="13827" width="39" style="130" customWidth="1"/>
    <col min="13828" max="13828" width="2.42578125" style="130" customWidth="1"/>
    <col min="13829" max="13829" width="14.140625" style="130" customWidth="1"/>
    <col min="13830" max="13830" width="2" style="130" customWidth="1"/>
    <col min="13831" max="13831" width="41.140625" style="130" customWidth="1"/>
    <col min="13832" max="13832" width="41.5703125" style="130" customWidth="1"/>
    <col min="13833" max="14080" width="9.140625" style="130"/>
    <col min="14081" max="14081" width="5.85546875" style="130" customWidth="1"/>
    <col min="14082" max="14082" width="3.7109375" style="130" customWidth="1"/>
    <col min="14083" max="14083" width="39" style="130" customWidth="1"/>
    <col min="14084" max="14084" width="2.42578125" style="130" customWidth="1"/>
    <col min="14085" max="14085" width="14.140625" style="130" customWidth="1"/>
    <col min="14086" max="14086" width="2" style="130" customWidth="1"/>
    <col min="14087" max="14087" width="41.140625" style="130" customWidth="1"/>
    <col min="14088" max="14088" width="41.5703125" style="130" customWidth="1"/>
    <col min="14089" max="14336" width="9.140625" style="130"/>
    <col min="14337" max="14337" width="5.85546875" style="130" customWidth="1"/>
    <col min="14338" max="14338" width="3.7109375" style="130" customWidth="1"/>
    <col min="14339" max="14339" width="39" style="130" customWidth="1"/>
    <col min="14340" max="14340" width="2.42578125" style="130" customWidth="1"/>
    <col min="14341" max="14341" width="14.140625" style="130" customWidth="1"/>
    <col min="14342" max="14342" width="2" style="130" customWidth="1"/>
    <col min="14343" max="14343" width="41.140625" style="130" customWidth="1"/>
    <col min="14344" max="14344" width="41.5703125" style="130" customWidth="1"/>
    <col min="14345" max="14592" width="9.140625" style="130"/>
    <col min="14593" max="14593" width="5.85546875" style="130" customWidth="1"/>
    <col min="14594" max="14594" width="3.7109375" style="130" customWidth="1"/>
    <col min="14595" max="14595" width="39" style="130" customWidth="1"/>
    <col min="14596" max="14596" width="2.42578125" style="130" customWidth="1"/>
    <col min="14597" max="14597" width="14.140625" style="130" customWidth="1"/>
    <col min="14598" max="14598" width="2" style="130" customWidth="1"/>
    <col min="14599" max="14599" width="41.140625" style="130" customWidth="1"/>
    <col min="14600" max="14600" width="41.5703125" style="130" customWidth="1"/>
    <col min="14601" max="14848" width="9.140625" style="130"/>
    <col min="14849" max="14849" width="5.85546875" style="130" customWidth="1"/>
    <col min="14850" max="14850" width="3.7109375" style="130" customWidth="1"/>
    <col min="14851" max="14851" width="39" style="130" customWidth="1"/>
    <col min="14852" max="14852" width="2.42578125" style="130" customWidth="1"/>
    <col min="14853" max="14853" width="14.140625" style="130" customWidth="1"/>
    <col min="14854" max="14854" width="2" style="130" customWidth="1"/>
    <col min="14855" max="14855" width="41.140625" style="130" customWidth="1"/>
    <col min="14856" max="14856" width="41.5703125" style="130" customWidth="1"/>
    <col min="14857" max="15104" width="9.140625" style="130"/>
    <col min="15105" max="15105" width="5.85546875" style="130" customWidth="1"/>
    <col min="15106" max="15106" width="3.7109375" style="130" customWidth="1"/>
    <col min="15107" max="15107" width="39" style="130" customWidth="1"/>
    <col min="15108" max="15108" width="2.42578125" style="130" customWidth="1"/>
    <col min="15109" max="15109" width="14.140625" style="130" customWidth="1"/>
    <col min="15110" max="15110" width="2" style="130" customWidth="1"/>
    <col min="15111" max="15111" width="41.140625" style="130" customWidth="1"/>
    <col min="15112" max="15112" width="41.5703125" style="130" customWidth="1"/>
    <col min="15113" max="15360" width="9.140625" style="130"/>
    <col min="15361" max="15361" width="5.85546875" style="130" customWidth="1"/>
    <col min="15362" max="15362" width="3.7109375" style="130" customWidth="1"/>
    <col min="15363" max="15363" width="39" style="130" customWidth="1"/>
    <col min="15364" max="15364" width="2.42578125" style="130" customWidth="1"/>
    <col min="15365" max="15365" width="14.140625" style="130" customWidth="1"/>
    <col min="15366" max="15366" width="2" style="130" customWidth="1"/>
    <col min="15367" max="15367" width="41.140625" style="130" customWidth="1"/>
    <col min="15368" max="15368" width="41.5703125" style="130" customWidth="1"/>
    <col min="15369" max="15616" width="9.140625" style="130"/>
    <col min="15617" max="15617" width="5.85546875" style="130" customWidth="1"/>
    <col min="15618" max="15618" width="3.7109375" style="130" customWidth="1"/>
    <col min="15619" max="15619" width="39" style="130" customWidth="1"/>
    <col min="15620" max="15620" width="2.42578125" style="130" customWidth="1"/>
    <col min="15621" max="15621" width="14.140625" style="130" customWidth="1"/>
    <col min="15622" max="15622" width="2" style="130" customWidth="1"/>
    <col min="15623" max="15623" width="41.140625" style="130" customWidth="1"/>
    <col min="15624" max="15624" width="41.5703125" style="130" customWidth="1"/>
    <col min="15625" max="15872" width="9.140625" style="130"/>
    <col min="15873" max="15873" width="5.85546875" style="130" customWidth="1"/>
    <col min="15874" max="15874" width="3.7109375" style="130" customWidth="1"/>
    <col min="15875" max="15875" width="39" style="130" customWidth="1"/>
    <col min="15876" max="15876" width="2.42578125" style="130" customWidth="1"/>
    <col min="15877" max="15877" width="14.140625" style="130" customWidth="1"/>
    <col min="15878" max="15878" width="2" style="130" customWidth="1"/>
    <col min="15879" max="15879" width="41.140625" style="130" customWidth="1"/>
    <col min="15880" max="15880" width="41.5703125" style="130" customWidth="1"/>
    <col min="15881" max="16128" width="9.140625" style="130"/>
    <col min="16129" max="16129" width="5.85546875" style="130" customWidth="1"/>
    <col min="16130" max="16130" width="3.7109375" style="130" customWidth="1"/>
    <col min="16131" max="16131" width="39" style="130" customWidth="1"/>
    <col min="16132" max="16132" width="2.42578125" style="130" customWidth="1"/>
    <col min="16133" max="16133" width="14.140625" style="130" customWidth="1"/>
    <col min="16134" max="16134" width="2" style="130" customWidth="1"/>
    <col min="16135" max="16135" width="41.140625" style="130" customWidth="1"/>
    <col min="16136" max="16136" width="41.5703125" style="130" customWidth="1"/>
    <col min="16137" max="16384" width="9.140625" style="130"/>
  </cols>
  <sheetData>
    <row r="1" spans="1:8" ht="15" customHeight="1" x14ac:dyDescent="0.2">
      <c r="A1" s="187" t="s">
        <v>0</v>
      </c>
      <c r="B1" s="187"/>
      <c r="C1" s="187"/>
      <c r="D1" s="187"/>
      <c r="E1" s="187"/>
      <c r="F1" s="187"/>
      <c r="G1" s="187"/>
    </row>
    <row r="2" spans="1:8" ht="15" customHeight="1" x14ac:dyDescent="0.2">
      <c r="A2" s="187" t="s">
        <v>1</v>
      </c>
      <c r="B2" s="187"/>
      <c r="C2" s="187"/>
      <c r="D2" s="187"/>
      <c r="E2" s="187"/>
      <c r="F2" s="187"/>
      <c r="G2" s="187"/>
    </row>
    <row r="3" spans="1:8" x14ac:dyDescent="0.2">
      <c r="A3" s="187" t="s">
        <v>2</v>
      </c>
      <c r="B3" s="187"/>
      <c r="C3" s="187"/>
      <c r="D3" s="187"/>
      <c r="E3" s="187"/>
      <c r="F3" s="187"/>
      <c r="G3" s="187"/>
    </row>
    <row r="4" spans="1:8" x14ac:dyDescent="0.2">
      <c r="A4" s="19"/>
      <c r="B4" s="19"/>
      <c r="C4" s="19"/>
      <c r="D4" s="19"/>
      <c r="E4" s="19"/>
      <c r="F4" s="19"/>
      <c r="G4" s="19"/>
    </row>
    <row r="5" spans="1:8" x14ac:dyDescent="0.2">
      <c r="A5" s="187" t="s">
        <v>104</v>
      </c>
      <c r="B5" s="187"/>
      <c r="C5" s="187"/>
      <c r="D5" s="187"/>
      <c r="E5" s="187"/>
      <c r="F5" s="187"/>
      <c r="G5" s="187"/>
    </row>
    <row r="6" spans="1:8" ht="15" customHeight="1" x14ac:dyDescent="0.2">
      <c r="A6" s="187" t="s">
        <v>231</v>
      </c>
      <c r="B6" s="187"/>
      <c r="C6" s="187"/>
      <c r="D6" s="187"/>
      <c r="E6" s="187"/>
      <c r="F6" s="187"/>
      <c r="G6" s="187"/>
    </row>
    <row r="7" spans="1:8" x14ac:dyDescent="0.2">
      <c r="A7" s="154"/>
      <c r="B7" s="154"/>
      <c r="C7" s="154"/>
      <c r="D7" s="154"/>
      <c r="E7" s="154"/>
      <c r="F7" s="19"/>
      <c r="G7" s="19"/>
    </row>
    <row r="8" spans="1:8" x14ac:dyDescent="0.2">
      <c r="A8" s="154"/>
      <c r="B8" s="154"/>
      <c r="C8" s="154"/>
      <c r="D8" s="154"/>
      <c r="E8" s="154"/>
      <c r="F8" s="19"/>
      <c r="G8" s="19"/>
    </row>
    <row r="9" spans="1:8" x14ac:dyDescent="0.2">
      <c r="A9" s="20" t="s">
        <v>105</v>
      </c>
      <c r="B9" s="20"/>
      <c r="C9" s="20"/>
      <c r="D9" s="21"/>
      <c r="E9" s="19"/>
      <c r="F9" s="19"/>
      <c r="G9" s="21">
        <v>2316285.7200000002</v>
      </c>
    </row>
    <row r="10" spans="1:8" x14ac:dyDescent="0.2">
      <c r="A10" s="19"/>
      <c r="B10" s="19"/>
      <c r="C10" s="19"/>
      <c r="D10" s="19"/>
      <c r="E10" s="19"/>
      <c r="F10" s="19"/>
      <c r="G10" s="22"/>
    </row>
    <row r="11" spans="1:8" x14ac:dyDescent="0.2">
      <c r="A11" s="20" t="s">
        <v>106</v>
      </c>
      <c r="B11" s="20" t="s">
        <v>60</v>
      </c>
      <c r="C11" s="20"/>
      <c r="D11" s="19"/>
      <c r="E11" s="19"/>
      <c r="F11" s="19"/>
      <c r="G11" s="19"/>
    </row>
    <row r="12" spans="1:8" s="131" customFormat="1" ht="15" x14ac:dyDescent="0.25">
      <c r="A12" s="20" t="s">
        <v>107</v>
      </c>
      <c r="B12" s="20" t="s">
        <v>108</v>
      </c>
      <c r="C12" s="20"/>
      <c r="D12" s="20"/>
      <c r="E12" s="20"/>
      <c r="F12" s="20"/>
      <c r="G12" s="20"/>
    </row>
    <row r="13" spans="1:8" x14ac:dyDescent="0.2">
      <c r="A13" s="19"/>
      <c r="B13" s="19" t="s">
        <v>109</v>
      </c>
      <c r="C13" s="20" t="s">
        <v>110</v>
      </c>
      <c r="D13" s="19"/>
      <c r="E13" s="22"/>
      <c r="F13" s="19"/>
      <c r="G13" s="19"/>
    </row>
    <row r="14" spans="1:8" x14ac:dyDescent="0.2">
      <c r="A14" s="19"/>
      <c r="B14" s="19"/>
      <c r="C14" s="19" t="s">
        <v>111</v>
      </c>
      <c r="D14" s="19"/>
      <c r="E14" s="160">
        <f>1530</f>
        <v>1530</v>
      </c>
      <c r="F14" s="19"/>
      <c r="G14" s="19"/>
    </row>
    <row r="15" spans="1:8" x14ac:dyDescent="0.2">
      <c r="A15" s="19"/>
      <c r="B15" s="19"/>
      <c r="C15" s="19" t="s">
        <v>232</v>
      </c>
      <c r="D15" s="19"/>
      <c r="E15" s="160">
        <v>30</v>
      </c>
      <c r="F15" s="19"/>
      <c r="G15" s="19"/>
    </row>
    <row r="16" spans="1:8" x14ac:dyDescent="0.2">
      <c r="A16" s="19"/>
      <c r="B16" s="19"/>
      <c r="C16" s="19" t="s">
        <v>233</v>
      </c>
      <c r="D16" s="19"/>
      <c r="E16" s="160">
        <v>90</v>
      </c>
      <c r="F16" s="19"/>
      <c r="G16" s="24"/>
      <c r="H16" s="132"/>
    </row>
    <row r="17" spans="1:7" hidden="1" x14ac:dyDescent="0.2">
      <c r="A17" s="19"/>
      <c r="B17" s="19"/>
      <c r="C17" s="19" t="s">
        <v>112</v>
      </c>
      <c r="D17" s="19"/>
      <c r="E17" s="160"/>
      <c r="F17" s="19"/>
      <c r="G17" s="19"/>
    </row>
    <row r="18" spans="1:7" x14ac:dyDescent="0.2">
      <c r="A18" s="19"/>
      <c r="B18" s="19"/>
      <c r="C18" s="19" t="s">
        <v>234</v>
      </c>
      <c r="D18" s="19"/>
      <c r="E18" s="160">
        <v>275</v>
      </c>
      <c r="F18" s="19"/>
      <c r="G18" s="19"/>
    </row>
    <row r="19" spans="1:7" x14ac:dyDescent="0.2">
      <c r="A19" s="19"/>
      <c r="B19" s="19"/>
      <c r="C19" s="19" t="s">
        <v>235</v>
      </c>
      <c r="D19" s="19"/>
      <c r="E19" s="160">
        <v>60</v>
      </c>
      <c r="F19" s="19"/>
      <c r="G19" s="19"/>
    </row>
    <row r="20" spans="1:7" x14ac:dyDescent="0.2">
      <c r="A20" s="19"/>
      <c r="B20" s="19"/>
      <c r="C20" s="19" t="s">
        <v>112</v>
      </c>
      <c r="D20" s="19"/>
      <c r="E20" s="160">
        <v>365</v>
      </c>
      <c r="F20" s="19"/>
      <c r="G20" s="19"/>
    </row>
    <row r="21" spans="1:7" ht="15" thickBot="1" x14ac:dyDescent="0.25">
      <c r="A21" s="19"/>
      <c r="B21" s="19"/>
      <c r="C21" s="19" t="s">
        <v>236</v>
      </c>
      <c r="D21" s="19"/>
      <c r="E21" s="160">
        <v>40</v>
      </c>
      <c r="F21" s="19"/>
      <c r="G21" s="19"/>
    </row>
    <row r="22" spans="1:7" ht="15" hidden="1" thickBot="1" x14ac:dyDescent="0.25">
      <c r="A22" s="19"/>
      <c r="B22" s="19"/>
      <c r="C22" s="19" t="s">
        <v>113</v>
      </c>
      <c r="D22" s="19"/>
      <c r="E22" s="23"/>
      <c r="F22" s="19"/>
      <c r="G22" s="19"/>
    </row>
    <row r="23" spans="1:7" ht="15" hidden="1" thickBot="1" x14ac:dyDescent="0.25">
      <c r="A23" s="19"/>
      <c r="B23" s="19"/>
      <c r="C23" s="19" t="s">
        <v>114</v>
      </c>
      <c r="D23" s="19"/>
      <c r="E23" s="23"/>
      <c r="F23" s="19"/>
      <c r="G23" s="19"/>
    </row>
    <row r="24" spans="1:7" ht="15" hidden="1" thickBot="1" x14ac:dyDescent="0.25">
      <c r="A24" s="19"/>
      <c r="B24" s="19"/>
      <c r="C24" s="19" t="s">
        <v>115</v>
      </c>
      <c r="D24" s="19"/>
      <c r="E24" s="23"/>
      <c r="F24" s="19"/>
      <c r="G24" s="19"/>
    </row>
    <row r="25" spans="1:7" x14ac:dyDescent="0.2">
      <c r="A25" s="19"/>
      <c r="B25" s="19"/>
      <c r="C25" s="25" t="s">
        <v>116</v>
      </c>
      <c r="D25" s="19"/>
      <c r="E25" s="26">
        <f>SUM(E14:E22)</f>
        <v>2390</v>
      </c>
      <c r="F25" s="19"/>
      <c r="G25" s="19"/>
    </row>
    <row r="26" spans="1:7" x14ac:dyDescent="0.2">
      <c r="A26" s="19"/>
      <c r="B26" s="27" t="s">
        <v>117</v>
      </c>
      <c r="C26" s="28" t="s">
        <v>118</v>
      </c>
      <c r="D26" s="19"/>
      <c r="E26" s="19"/>
      <c r="F26" s="19"/>
      <c r="G26" s="19"/>
    </row>
    <row r="27" spans="1:7" ht="15" thickBot="1" x14ac:dyDescent="0.25">
      <c r="A27" s="19"/>
      <c r="B27" s="27"/>
      <c r="C27" s="27" t="s">
        <v>119</v>
      </c>
      <c r="D27" s="19"/>
      <c r="E27" s="23">
        <v>15027</v>
      </c>
      <c r="F27" s="19"/>
      <c r="G27" s="24"/>
    </row>
    <row r="28" spans="1:7" x14ac:dyDescent="0.2">
      <c r="A28" s="19"/>
      <c r="B28" s="27"/>
      <c r="C28" s="25" t="s">
        <v>116</v>
      </c>
      <c r="D28" s="19"/>
      <c r="E28" s="29">
        <f>E27</f>
        <v>15027</v>
      </c>
      <c r="F28" s="19"/>
      <c r="G28" s="19"/>
    </row>
    <row r="29" spans="1:7" s="131" customFormat="1" ht="15" x14ac:dyDescent="0.25">
      <c r="A29" s="20" t="s">
        <v>120</v>
      </c>
      <c r="B29" s="28" t="s">
        <v>121</v>
      </c>
      <c r="C29" s="30"/>
      <c r="D29" s="20"/>
      <c r="E29" s="20"/>
      <c r="F29" s="20"/>
      <c r="G29" s="31"/>
    </row>
    <row r="30" spans="1:7" x14ac:dyDescent="0.2">
      <c r="A30" s="19"/>
      <c r="B30" s="27"/>
      <c r="C30" s="27" t="s">
        <v>122</v>
      </c>
      <c r="D30" s="19"/>
      <c r="E30" s="160">
        <v>154573.01</v>
      </c>
      <c r="F30" s="19"/>
      <c r="G30" s="24"/>
    </row>
    <row r="31" spans="1:7" x14ac:dyDescent="0.2">
      <c r="A31" s="19"/>
      <c r="B31" s="27"/>
      <c r="C31" s="32" t="s">
        <v>123</v>
      </c>
      <c r="D31" s="19"/>
      <c r="E31" s="160">
        <v>93934.32</v>
      </c>
      <c r="F31" s="19"/>
      <c r="G31" s="24"/>
    </row>
    <row r="32" spans="1:7" x14ac:dyDescent="0.2">
      <c r="A32" s="19"/>
      <c r="B32" s="27"/>
      <c r="C32" s="32" t="s">
        <v>124</v>
      </c>
      <c r="D32" s="19"/>
      <c r="E32" s="160">
        <f>89461.26+93934.32</f>
        <v>183395.58000000002</v>
      </c>
      <c r="F32" s="19"/>
      <c r="G32" s="24"/>
    </row>
    <row r="33" spans="1:8" ht="15" thickBot="1" x14ac:dyDescent="0.25">
      <c r="A33" s="19"/>
      <c r="B33" s="27"/>
      <c r="C33" s="32" t="s">
        <v>125</v>
      </c>
      <c r="D33" s="19"/>
      <c r="E33" s="160">
        <v>41600</v>
      </c>
      <c r="F33" s="19"/>
      <c r="G33" s="24"/>
    </row>
    <row r="34" spans="1:8" ht="15" hidden="1" thickBot="1" x14ac:dyDescent="0.25">
      <c r="A34" s="19"/>
      <c r="B34" s="27"/>
      <c r="C34" s="32" t="s">
        <v>126</v>
      </c>
      <c r="D34" s="19"/>
      <c r="E34" s="33"/>
      <c r="F34" s="19"/>
      <c r="G34" s="24"/>
    </row>
    <row r="35" spans="1:8" x14ac:dyDescent="0.2">
      <c r="A35" s="19"/>
      <c r="B35" s="27"/>
      <c r="C35" s="25" t="s">
        <v>116</v>
      </c>
      <c r="D35" s="19"/>
      <c r="E35" s="26">
        <f>SUM(E30:E34)</f>
        <v>473502.91000000003</v>
      </c>
      <c r="F35" s="19"/>
      <c r="G35" s="34"/>
    </row>
    <row r="36" spans="1:8" x14ac:dyDescent="0.2">
      <c r="A36" s="20" t="s">
        <v>127</v>
      </c>
      <c r="B36" s="28" t="s">
        <v>128</v>
      </c>
      <c r="C36" s="28"/>
      <c r="D36" s="19"/>
      <c r="E36" s="34"/>
      <c r="F36" s="19"/>
      <c r="G36" s="34"/>
    </row>
    <row r="37" spans="1:8" ht="16.5" x14ac:dyDescent="0.35">
      <c r="A37" s="19"/>
      <c r="B37" s="27"/>
      <c r="C37" s="27" t="s">
        <v>129</v>
      </c>
      <c r="D37" s="19"/>
      <c r="E37" s="161">
        <v>309.92</v>
      </c>
      <c r="F37" s="19"/>
      <c r="G37" s="34"/>
    </row>
    <row r="38" spans="1:8" x14ac:dyDescent="0.2">
      <c r="A38" s="27"/>
      <c r="B38" s="27"/>
      <c r="C38" s="25" t="s">
        <v>130</v>
      </c>
      <c r="D38" s="19"/>
      <c r="E38" s="34">
        <f>SUM(E37)</f>
        <v>309.92</v>
      </c>
      <c r="F38" s="19"/>
      <c r="G38" s="34"/>
    </row>
    <row r="39" spans="1:8" s="131" customFormat="1" ht="15" x14ac:dyDescent="0.25">
      <c r="A39" s="28" t="s">
        <v>131</v>
      </c>
      <c r="B39" s="28" t="s">
        <v>132</v>
      </c>
      <c r="C39" s="28"/>
      <c r="D39" s="20"/>
      <c r="E39" s="20"/>
      <c r="F39" s="20"/>
      <c r="G39" s="20"/>
    </row>
    <row r="40" spans="1:8" x14ac:dyDescent="0.2">
      <c r="A40" s="19"/>
      <c r="B40" s="27"/>
      <c r="C40" s="32" t="s">
        <v>133</v>
      </c>
      <c r="D40" s="19"/>
      <c r="E40" s="23">
        <v>705</v>
      </c>
      <c r="F40" s="19"/>
      <c r="G40" s="24"/>
    </row>
    <row r="41" spans="1:8" ht="15" thickBot="1" x14ac:dyDescent="0.25">
      <c r="A41" s="19"/>
      <c r="B41" s="27"/>
      <c r="C41" s="32" t="s">
        <v>237</v>
      </c>
      <c r="D41" s="19"/>
      <c r="E41" s="23">
        <v>30000</v>
      </c>
      <c r="F41" s="19"/>
      <c r="G41" s="24"/>
    </row>
    <row r="42" spans="1:8" x14ac:dyDescent="0.2">
      <c r="A42" s="19"/>
      <c r="B42" s="27"/>
      <c r="C42" s="25" t="s">
        <v>116</v>
      </c>
      <c r="D42" s="19"/>
      <c r="E42" s="29">
        <f>SUM(E40:E41)</f>
        <v>30705</v>
      </c>
      <c r="F42" s="19"/>
      <c r="G42" s="24"/>
    </row>
    <row r="43" spans="1:8" ht="16.5" x14ac:dyDescent="0.35">
      <c r="A43" s="19"/>
      <c r="B43" s="19"/>
      <c r="C43" s="157" t="s">
        <v>134</v>
      </c>
      <c r="D43" s="19"/>
      <c r="E43" s="36"/>
      <c r="F43" s="19"/>
      <c r="G43" s="37">
        <f>E25+E28+E35+E38+E42</f>
        <v>521934.83</v>
      </c>
      <c r="H43" s="134"/>
    </row>
    <row r="44" spans="1:8" x14ac:dyDescent="0.2">
      <c r="A44" s="19"/>
      <c r="B44" s="19"/>
      <c r="C44" s="157" t="s">
        <v>135</v>
      </c>
      <c r="D44" s="19"/>
      <c r="E44" s="21"/>
      <c r="F44" s="19"/>
      <c r="G44" s="31">
        <f>G9+G43</f>
        <v>2838220.5500000003</v>
      </c>
    </row>
    <row r="45" spans="1:8" x14ac:dyDescent="0.2">
      <c r="A45" s="19"/>
      <c r="B45" s="19"/>
      <c r="C45" s="157"/>
      <c r="D45" s="19"/>
      <c r="E45" s="36"/>
      <c r="F45" s="19"/>
      <c r="G45" s="31"/>
    </row>
    <row r="46" spans="1:8" x14ac:dyDescent="0.2">
      <c r="A46" s="20" t="s">
        <v>136</v>
      </c>
      <c r="B46" s="20" t="s">
        <v>137</v>
      </c>
      <c r="C46" s="20"/>
      <c r="D46" s="19"/>
      <c r="E46" s="19"/>
      <c r="F46" s="19"/>
      <c r="G46" s="19"/>
    </row>
    <row r="47" spans="1:8" x14ac:dyDescent="0.2">
      <c r="A47" s="20" t="s">
        <v>107</v>
      </c>
      <c r="B47" s="20" t="s">
        <v>108</v>
      </c>
      <c r="C47" s="20"/>
      <c r="D47" s="19"/>
      <c r="E47" s="19"/>
      <c r="F47" s="19"/>
      <c r="G47" s="24"/>
    </row>
    <row r="48" spans="1:8" ht="14.25" customHeight="1" x14ac:dyDescent="0.2">
      <c r="A48" s="20"/>
      <c r="B48" s="20" t="s">
        <v>109</v>
      </c>
      <c r="C48" s="20" t="s">
        <v>138</v>
      </c>
      <c r="D48" s="19"/>
      <c r="E48" s="19"/>
      <c r="F48" s="19"/>
      <c r="G48" s="24"/>
    </row>
    <row r="49" spans="1:7" x14ac:dyDescent="0.2">
      <c r="A49" s="19"/>
      <c r="B49" s="19"/>
      <c r="C49" s="27" t="s">
        <v>207</v>
      </c>
      <c r="D49" s="38"/>
      <c r="E49" s="162">
        <v>113407</v>
      </c>
      <c r="F49" s="39"/>
      <c r="G49" s="38"/>
    </row>
    <row r="50" spans="1:7" x14ac:dyDescent="0.2">
      <c r="A50" s="19"/>
      <c r="B50" s="19"/>
      <c r="C50" s="27" t="s">
        <v>208</v>
      </c>
      <c r="D50" s="38"/>
      <c r="E50" s="162">
        <v>25000</v>
      </c>
      <c r="F50" s="39"/>
      <c r="G50" s="38"/>
    </row>
    <row r="51" spans="1:7" x14ac:dyDescent="0.2">
      <c r="A51" s="19"/>
      <c r="B51" s="19"/>
      <c r="C51" s="27" t="s">
        <v>209</v>
      </c>
      <c r="D51" s="38"/>
      <c r="E51" s="162">
        <v>4500</v>
      </c>
      <c r="F51" s="39"/>
      <c r="G51" s="38"/>
    </row>
    <row r="52" spans="1:7" hidden="1" x14ac:dyDescent="0.2">
      <c r="A52" s="19"/>
      <c r="B52" s="19"/>
      <c r="C52" s="27" t="s">
        <v>210</v>
      </c>
      <c r="D52" s="38"/>
      <c r="E52" s="38"/>
      <c r="F52" s="39"/>
      <c r="G52" s="38"/>
    </row>
    <row r="53" spans="1:7" x14ac:dyDescent="0.2">
      <c r="A53" s="19"/>
      <c r="B53" s="19"/>
      <c r="C53" s="27" t="s">
        <v>238</v>
      </c>
      <c r="D53" s="38"/>
      <c r="E53" s="162">
        <v>10570</v>
      </c>
      <c r="F53" s="39"/>
      <c r="G53" s="38"/>
    </row>
    <row r="54" spans="1:7" x14ac:dyDescent="0.2">
      <c r="A54" s="19"/>
      <c r="B54" s="19"/>
      <c r="C54" s="27" t="s">
        <v>239</v>
      </c>
      <c r="D54" s="38"/>
      <c r="E54" s="162">
        <v>2119.19</v>
      </c>
      <c r="F54" s="39"/>
      <c r="G54" s="38"/>
    </row>
    <row r="55" spans="1:7" x14ac:dyDescent="0.2">
      <c r="A55" s="19"/>
      <c r="B55" s="19"/>
      <c r="C55" s="27" t="s">
        <v>240</v>
      </c>
      <c r="D55" s="38"/>
      <c r="E55" s="162">
        <v>1200</v>
      </c>
      <c r="F55" s="39"/>
      <c r="G55" s="38"/>
    </row>
    <row r="56" spans="1:7" x14ac:dyDescent="0.2">
      <c r="A56" s="19"/>
      <c r="B56" s="19"/>
      <c r="C56" s="27" t="s">
        <v>241</v>
      </c>
      <c r="D56" s="38"/>
      <c r="E56" s="163">
        <v>100</v>
      </c>
      <c r="F56" s="39"/>
      <c r="G56" s="24"/>
    </row>
    <row r="57" spans="1:7" x14ac:dyDescent="0.2">
      <c r="A57" s="19"/>
      <c r="B57" s="19"/>
      <c r="C57" s="27" t="s">
        <v>242</v>
      </c>
      <c r="D57" s="38"/>
      <c r="E57" s="162">
        <v>1435</v>
      </c>
      <c r="F57" s="39"/>
      <c r="G57" s="24"/>
    </row>
    <row r="58" spans="1:7" x14ac:dyDescent="0.2">
      <c r="A58" s="19"/>
      <c r="B58" s="19"/>
      <c r="C58" s="27" t="s">
        <v>243</v>
      </c>
      <c r="D58" s="38"/>
      <c r="E58" s="162">
        <v>4845.9399999999996</v>
      </c>
      <c r="F58" s="39"/>
      <c r="G58" s="19"/>
    </row>
    <row r="59" spans="1:7" x14ac:dyDescent="0.2">
      <c r="A59" s="19"/>
      <c r="B59" s="19"/>
      <c r="C59" s="27" t="s">
        <v>244</v>
      </c>
      <c r="D59" s="38"/>
      <c r="E59" s="162">
        <v>28989.02</v>
      </c>
      <c r="F59" s="39"/>
      <c r="G59" s="19"/>
    </row>
    <row r="60" spans="1:7" hidden="1" x14ac:dyDescent="0.2">
      <c r="A60" s="19"/>
      <c r="B60" s="19"/>
      <c r="C60" s="27" t="s">
        <v>139</v>
      </c>
      <c r="D60" s="38"/>
      <c r="E60" s="162"/>
      <c r="F60" s="39"/>
      <c r="G60" s="19"/>
    </row>
    <row r="61" spans="1:7" hidden="1" x14ac:dyDescent="0.2">
      <c r="A61" s="19"/>
      <c r="B61" s="19"/>
      <c r="C61" s="27" t="s">
        <v>186</v>
      </c>
      <c r="D61" s="38"/>
      <c r="E61" s="162"/>
      <c r="F61" s="39"/>
      <c r="G61" s="19"/>
    </row>
    <row r="62" spans="1:7" hidden="1" x14ac:dyDescent="0.2">
      <c r="A62" s="19"/>
      <c r="B62" s="19"/>
      <c r="C62" s="27" t="s">
        <v>185</v>
      </c>
      <c r="D62" s="38"/>
      <c r="E62" s="162"/>
      <c r="F62" s="39"/>
      <c r="G62" s="19"/>
    </row>
    <row r="63" spans="1:7" x14ac:dyDescent="0.2">
      <c r="A63" s="19"/>
      <c r="B63" s="19"/>
      <c r="C63" s="27" t="s">
        <v>245</v>
      </c>
      <c r="D63" s="38"/>
      <c r="E63" s="162">
        <v>13995.95</v>
      </c>
      <c r="F63" s="39"/>
      <c r="G63" s="19"/>
    </row>
    <row r="64" spans="1:7" x14ac:dyDescent="0.2">
      <c r="A64" s="19"/>
      <c r="B64" s="19"/>
      <c r="C64" s="27" t="s">
        <v>246</v>
      </c>
      <c r="D64" s="22"/>
      <c r="E64" s="160">
        <v>431.3</v>
      </c>
      <c r="F64" s="38"/>
      <c r="G64" s="19"/>
    </row>
    <row r="65" spans="1:7" x14ac:dyDescent="0.2">
      <c r="A65" s="19"/>
      <c r="B65" s="19"/>
      <c r="C65" s="27" t="s">
        <v>247</v>
      </c>
      <c r="D65" s="38"/>
      <c r="E65" s="164">
        <v>2000</v>
      </c>
      <c r="F65" s="39"/>
      <c r="G65" s="19"/>
    </row>
    <row r="66" spans="1:7" x14ac:dyDescent="0.2">
      <c r="A66" s="19"/>
      <c r="B66" s="19"/>
      <c r="C66" s="27" t="s">
        <v>248</v>
      </c>
      <c r="D66" s="38"/>
      <c r="E66" s="164">
        <v>4899</v>
      </c>
      <c r="F66" s="39"/>
      <c r="G66" s="19"/>
    </row>
    <row r="67" spans="1:7" x14ac:dyDescent="0.2">
      <c r="A67" s="19"/>
      <c r="B67" s="19"/>
      <c r="C67" s="27" t="s">
        <v>249</v>
      </c>
      <c r="D67" s="38"/>
      <c r="E67" s="164">
        <v>25085</v>
      </c>
      <c r="F67" s="39"/>
      <c r="G67" s="19"/>
    </row>
    <row r="68" spans="1:7" x14ac:dyDescent="0.2">
      <c r="A68" s="19"/>
      <c r="B68" s="19"/>
      <c r="C68" s="27" t="s">
        <v>250</v>
      </c>
      <c r="D68" s="40"/>
      <c r="E68" s="164">
        <v>3799</v>
      </c>
      <c r="F68" s="39"/>
      <c r="G68" s="19"/>
    </row>
    <row r="69" spans="1:7" hidden="1" x14ac:dyDescent="0.2">
      <c r="A69" s="19"/>
      <c r="B69" s="19"/>
      <c r="C69" s="27" t="s">
        <v>212</v>
      </c>
      <c r="D69" s="40"/>
      <c r="E69" s="106"/>
      <c r="F69" s="39"/>
      <c r="G69" s="19"/>
    </row>
    <row r="70" spans="1:7" x14ac:dyDescent="0.2">
      <c r="A70" s="19"/>
      <c r="B70" s="19"/>
      <c r="C70" s="27" t="s">
        <v>213</v>
      </c>
      <c r="D70" s="40"/>
      <c r="E70" s="162">
        <v>9968.9500000000007</v>
      </c>
      <c r="F70" s="39"/>
      <c r="G70" s="19"/>
    </row>
    <row r="71" spans="1:7" x14ac:dyDescent="0.2">
      <c r="A71" s="19"/>
      <c r="B71" s="19"/>
      <c r="C71" s="27" t="s">
        <v>214</v>
      </c>
      <c r="D71" s="22"/>
      <c r="E71" s="162">
        <v>1540.35</v>
      </c>
      <c r="F71" s="39"/>
      <c r="G71" s="19"/>
    </row>
    <row r="72" spans="1:7" hidden="1" x14ac:dyDescent="0.2">
      <c r="A72" s="19"/>
      <c r="B72" s="19"/>
      <c r="C72" s="27" t="s">
        <v>187</v>
      </c>
      <c r="D72" s="22"/>
      <c r="E72" s="38"/>
      <c r="F72" s="39"/>
      <c r="G72" s="19"/>
    </row>
    <row r="73" spans="1:7" hidden="1" x14ac:dyDescent="0.2">
      <c r="A73" s="19"/>
      <c r="B73" s="19"/>
      <c r="C73" s="27" t="s">
        <v>188</v>
      </c>
      <c r="D73" s="22"/>
      <c r="E73" s="38"/>
      <c r="F73" s="39"/>
      <c r="G73" s="19"/>
    </row>
    <row r="74" spans="1:7" hidden="1" x14ac:dyDescent="0.2">
      <c r="A74" s="19"/>
      <c r="B74" s="19"/>
      <c r="C74" s="27" t="s">
        <v>189</v>
      </c>
      <c r="D74" s="22"/>
      <c r="E74" s="38"/>
      <c r="F74" s="39"/>
      <c r="G74" s="19"/>
    </row>
    <row r="75" spans="1:7" hidden="1" x14ac:dyDescent="0.2">
      <c r="A75" s="19"/>
      <c r="B75" s="19"/>
      <c r="C75" s="27" t="s">
        <v>190</v>
      </c>
      <c r="D75" s="22"/>
      <c r="E75" s="38"/>
      <c r="F75" s="39"/>
      <c r="G75" s="19"/>
    </row>
    <row r="76" spans="1:7" x14ac:dyDescent="0.2">
      <c r="A76" s="19"/>
      <c r="B76" s="19"/>
      <c r="C76" s="27" t="s">
        <v>215</v>
      </c>
      <c r="D76" s="22"/>
      <c r="E76" s="162">
        <v>1000</v>
      </c>
      <c r="F76" s="39"/>
      <c r="G76" s="19"/>
    </row>
    <row r="77" spans="1:7" x14ac:dyDescent="0.2">
      <c r="A77" s="19"/>
      <c r="B77" s="19"/>
      <c r="C77" s="27" t="s">
        <v>251</v>
      </c>
      <c r="D77" s="22"/>
      <c r="E77" s="162">
        <v>125296.2</v>
      </c>
      <c r="F77" s="39"/>
      <c r="G77" s="19"/>
    </row>
    <row r="78" spans="1:7" x14ac:dyDescent="0.2">
      <c r="A78" s="19"/>
      <c r="B78" s="19"/>
      <c r="C78" s="27" t="s">
        <v>252</v>
      </c>
      <c r="D78" s="22"/>
      <c r="E78" s="38">
        <v>28110</v>
      </c>
      <c r="F78" s="39"/>
      <c r="G78" s="19"/>
    </row>
    <row r="79" spans="1:7" x14ac:dyDescent="0.2">
      <c r="A79" s="19"/>
      <c r="B79" s="19"/>
      <c r="C79" s="27" t="s">
        <v>253</v>
      </c>
      <c r="D79" s="22"/>
      <c r="E79" s="38">
        <v>2312.5</v>
      </c>
      <c r="F79" s="39"/>
      <c r="G79" s="19"/>
    </row>
    <row r="80" spans="1:7" x14ac:dyDescent="0.2">
      <c r="A80" s="19"/>
      <c r="B80" s="19"/>
      <c r="C80" s="27" t="s">
        <v>254</v>
      </c>
      <c r="D80" s="22"/>
      <c r="E80" s="162">
        <v>4390</v>
      </c>
      <c r="F80" s="39"/>
      <c r="G80" s="19"/>
    </row>
    <row r="81" spans="1:7" x14ac:dyDescent="0.2">
      <c r="A81" s="19"/>
      <c r="B81" s="19"/>
      <c r="C81" s="27" t="s">
        <v>255</v>
      </c>
      <c r="D81" s="22"/>
      <c r="E81" s="162">
        <v>400</v>
      </c>
      <c r="F81" s="39"/>
      <c r="G81" s="19"/>
    </row>
    <row r="82" spans="1:7" x14ac:dyDescent="0.2">
      <c r="A82" s="19"/>
      <c r="B82" s="19"/>
      <c r="C82" s="27" t="s">
        <v>256</v>
      </c>
      <c r="D82" s="22"/>
      <c r="E82" s="162">
        <v>170</v>
      </c>
      <c r="F82" s="39"/>
      <c r="G82" s="19"/>
    </row>
    <row r="83" spans="1:7" x14ac:dyDescent="0.2">
      <c r="A83" s="19"/>
      <c r="B83" s="19"/>
      <c r="C83" s="27" t="s">
        <v>257</v>
      </c>
      <c r="D83" s="22"/>
      <c r="E83" s="162">
        <v>3526.7</v>
      </c>
      <c r="F83" s="39"/>
      <c r="G83" s="19"/>
    </row>
    <row r="84" spans="1:7" x14ac:dyDescent="0.2">
      <c r="A84" s="19"/>
      <c r="B84" s="19"/>
      <c r="C84" s="27" t="s">
        <v>258</v>
      </c>
      <c r="D84" s="22"/>
      <c r="E84" s="162">
        <v>10146</v>
      </c>
      <c r="F84" s="39"/>
      <c r="G84" s="19"/>
    </row>
    <row r="85" spans="1:7" x14ac:dyDescent="0.2">
      <c r="A85" s="19"/>
      <c r="B85" s="19"/>
      <c r="C85" s="27" t="s">
        <v>259</v>
      </c>
      <c r="D85" s="22"/>
      <c r="E85" s="160">
        <v>274</v>
      </c>
      <c r="F85" s="38"/>
      <c r="G85" s="19"/>
    </row>
    <row r="86" spans="1:7" x14ac:dyDescent="0.2">
      <c r="A86" s="19"/>
      <c r="B86" s="19"/>
      <c r="C86" s="25" t="s">
        <v>130</v>
      </c>
      <c r="D86" s="23"/>
      <c r="E86" s="41">
        <f>SUM(E49:E85)</f>
        <v>429511.10000000003</v>
      </c>
      <c r="F86" s="19"/>
      <c r="G86" s="19"/>
    </row>
    <row r="87" spans="1:7" x14ac:dyDescent="0.2">
      <c r="A87" s="19"/>
      <c r="B87" s="19"/>
      <c r="C87" s="25"/>
      <c r="D87" s="23"/>
      <c r="E87" s="34"/>
      <c r="F87" s="19"/>
      <c r="G87" s="19"/>
    </row>
    <row r="88" spans="1:7" x14ac:dyDescent="0.2">
      <c r="A88" s="19"/>
      <c r="B88" s="19"/>
      <c r="C88" s="25"/>
      <c r="D88" s="23"/>
      <c r="E88" s="34"/>
      <c r="F88" s="19"/>
      <c r="G88" s="19"/>
    </row>
    <row r="89" spans="1:7" x14ac:dyDescent="0.2">
      <c r="A89" s="19"/>
      <c r="B89" s="19"/>
      <c r="C89" s="25"/>
      <c r="D89" s="23"/>
      <c r="E89" s="34"/>
      <c r="F89" s="19"/>
      <c r="G89" s="19"/>
    </row>
    <row r="90" spans="1:7" x14ac:dyDescent="0.2">
      <c r="A90" s="19"/>
      <c r="B90" s="19"/>
      <c r="C90" s="25"/>
      <c r="D90" s="23"/>
      <c r="E90" s="34"/>
      <c r="F90" s="19"/>
      <c r="G90" s="19"/>
    </row>
    <row r="91" spans="1:7" ht="14.25" customHeight="1" x14ac:dyDescent="0.2">
      <c r="A91" s="20"/>
      <c r="B91" s="20" t="s">
        <v>117</v>
      </c>
      <c r="C91" s="20" t="s">
        <v>140</v>
      </c>
      <c r="D91" s="19"/>
      <c r="E91" s="19"/>
      <c r="F91" s="19"/>
      <c r="G91" s="24"/>
    </row>
    <row r="92" spans="1:7" x14ac:dyDescent="0.2">
      <c r="A92" s="19"/>
      <c r="B92" s="19"/>
      <c r="C92" s="27" t="s">
        <v>141</v>
      </c>
      <c r="D92" s="38"/>
      <c r="E92" s="38">
        <v>77506.5</v>
      </c>
      <c r="F92" s="39"/>
      <c r="G92" s="24"/>
    </row>
    <row r="93" spans="1:7" x14ac:dyDescent="0.2">
      <c r="A93" s="19"/>
      <c r="B93" s="19"/>
      <c r="C93" s="25" t="s">
        <v>130</v>
      </c>
      <c r="D93" s="23"/>
      <c r="E93" s="41">
        <f>E92</f>
        <v>77506.5</v>
      </c>
      <c r="F93" s="19"/>
      <c r="G93" s="19"/>
    </row>
    <row r="94" spans="1:7" s="141" customFormat="1" hidden="1" x14ac:dyDescent="0.2">
      <c r="A94" s="42" t="s">
        <v>120</v>
      </c>
      <c r="B94" s="42" t="s">
        <v>142</v>
      </c>
      <c r="C94" s="42"/>
      <c r="D94" s="42"/>
      <c r="E94" s="43"/>
      <c r="F94" s="44"/>
      <c r="G94" s="44"/>
    </row>
    <row r="95" spans="1:7" hidden="1" x14ac:dyDescent="0.2">
      <c r="A95" s="27"/>
      <c r="B95" s="28"/>
      <c r="C95" s="28" t="s">
        <v>143</v>
      </c>
      <c r="D95" s="19"/>
      <c r="E95" s="19"/>
      <c r="F95" s="19"/>
      <c r="G95" s="19"/>
    </row>
    <row r="96" spans="1:7" hidden="1" x14ac:dyDescent="0.2">
      <c r="A96" s="27"/>
      <c r="B96" s="27"/>
      <c r="C96" s="45" t="s">
        <v>144</v>
      </c>
      <c r="D96" s="19"/>
      <c r="E96" s="23"/>
      <c r="F96" s="19"/>
      <c r="G96" s="19"/>
    </row>
    <row r="97" spans="1:8" hidden="1" x14ac:dyDescent="0.2">
      <c r="A97" s="27"/>
      <c r="B97" s="27"/>
      <c r="C97" s="45" t="s">
        <v>184</v>
      </c>
      <c r="D97" s="19"/>
      <c r="E97" s="23"/>
      <c r="F97" s="19"/>
      <c r="G97" s="19"/>
    </row>
    <row r="98" spans="1:8" hidden="1" x14ac:dyDescent="0.2">
      <c r="A98" s="27"/>
      <c r="B98" s="27"/>
      <c r="C98" s="25" t="s">
        <v>130</v>
      </c>
      <c r="D98" s="19"/>
      <c r="E98" s="34"/>
      <c r="F98" s="19"/>
      <c r="G98" s="19"/>
    </row>
    <row r="99" spans="1:8" hidden="1" x14ac:dyDescent="0.2">
      <c r="A99" s="20" t="s">
        <v>155</v>
      </c>
      <c r="B99" s="28" t="s">
        <v>145</v>
      </c>
      <c r="C99" s="28"/>
      <c r="D99" s="19"/>
      <c r="E99" s="34"/>
      <c r="F99" s="19"/>
      <c r="G99" s="19"/>
    </row>
    <row r="100" spans="1:8" ht="16.5" hidden="1" x14ac:dyDescent="0.35">
      <c r="A100" s="19"/>
      <c r="B100" s="27"/>
      <c r="C100" s="27" t="s">
        <v>146</v>
      </c>
      <c r="D100" s="19"/>
      <c r="E100" s="35"/>
      <c r="F100" s="19"/>
      <c r="G100" s="19"/>
    </row>
    <row r="101" spans="1:8" hidden="1" x14ac:dyDescent="0.2">
      <c r="A101" s="27"/>
      <c r="B101" s="27"/>
      <c r="C101" s="25" t="s">
        <v>130</v>
      </c>
      <c r="D101" s="19"/>
      <c r="E101" s="34">
        <f>E100</f>
        <v>0</v>
      </c>
      <c r="F101" s="19"/>
      <c r="G101" s="19"/>
    </row>
    <row r="102" spans="1:8" x14ac:dyDescent="0.2">
      <c r="A102" s="19"/>
      <c r="B102" s="19"/>
      <c r="C102" s="25" t="s">
        <v>147</v>
      </c>
      <c r="D102" s="19"/>
      <c r="E102" s="39"/>
      <c r="F102" s="19"/>
      <c r="G102" s="46">
        <f>E86+E93+E101</f>
        <v>507017.60000000003</v>
      </c>
    </row>
    <row r="103" spans="1:8" ht="15" thickBot="1" x14ac:dyDescent="0.25">
      <c r="A103" s="47" t="s">
        <v>211</v>
      </c>
      <c r="B103" s="19"/>
      <c r="C103" s="19"/>
      <c r="D103" s="19"/>
      <c r="E103" s="19"/>
      <c r="F103" s="19"/>
      <c r="G103" s="48">
        <f>G44-G102</f>
        <v>2331202.9500000002</v>
      </c>
    </row>
    <row r="104" spans="1:8" ht="15" thickTop="1" x14ac:dyDescent="0.2">
      <c r="A104" s="19"/>
      <c r="B104" s="19"/>
      <c r="C104" s="47"/>
      <c r="D104" s="19"/>
      <c r="E104" s="19"/>
      <c r="F104" s="19"/>
      <c r="G104" s="20"/>
    </row>
    <row r="105" spans="1:8" x14ac:dyDescent="0.2">
      <c r="A105" s="28" t="s">
        <v>148</v>
      </c>
      <c r="B105" s="28"/>
      <c r="C105" s="28"/>
      <c r="D105" s="19"/>
      <c r="E105" s="36"/>
      <c r="F105" s="19"/>
      <c r="G105" s="20"/>
    </row>
    <row r="106" spans="1:8" ht="16.5" customHeight="1" x14ac:dyDescent="0.25">
      <c r="A106" s="28" t="s">
        <v>149</v>
      </c>
      <c r="B106" s="28"/>
      <c r="C106" s="28"/>
      <c r="D106" s="19"/>
      <c r="E106" s="36"/>
      <c r="F106" s="19"/>
      <c r="G106" s="20"/>
      <c r="H106" s="138">
        <f>G103-G123</f>
        <v>0</v>
      </c>
    </row>
    <row r="107" spans="1:8" x14ac:dyDescent="0.2">
      <c r="A107" s="27"/>
      <c r="B107" s="27"/>
      <c r="C107" s="28" t="s">
        <v>150</v>
      </c>
      <c r="D107" s="19"/>
      <c r="E107" s="36"/>
      <c r="F107" s="19"/>
      <c r="G107" s="19"/>
      <c r="H107" s="134"/>
    </row>
    <row r="108" spans="1:8" x14ac:dyDescent="0.2">
      <c r="A108" s="27"/>
      <c r="B108" s="27"/>
      <c r="C108" s="27" t="s">
        <v>151</v>
      </c>
      <c r="D108" s="38"/>
      <c r="E108" s="38">
        <v>314329.56</v>
      </c>
      <c r="F108" s="19"/>
      <c r="G108" s="24"/>
    </row>
    <row r="109" spans="1:8" x14ac:dyDescent="0.2">
      <c r="A109" s="27"/>
      <c r="B109" s="27"/>
      <c r="C109" s="27" t="s">
        <v>152</v>
      </c>
      <c r="D109" s="38"/>
      <c r="E109" s="38">
        <v>5000</v>
      </c>
      <c r="F109" s="19"/>
      <c r="G109" s="24"/>
    </row>
    <row r="110" spans="1:8" x14ac:dyDescent="0.2">
      <c r="A110" s="27"/>
      <c r="B110" s="27"/>
      <c r="C110" s="49" t="s">
        <v>229</v>
      </c>
      <c r="D110" s="38"/>
      <c r="E110" s="38">
        <v>95957.32</v>
      </c>
      <c r="F110" s="19"/>
      <c r="G110" s="24"/>
    </row>
    <row r="111" spans="1:8" x14ac:dyDescent="0.2">
      <c r="A111" s="27"/>
      <c r="B111" s="27"/>
      <c r="C111" s="25" t="s">
        <v>116</v>
      </c>
      <c r="D111" s="36"/>
      <c r="E111" s="50">
        <f>SUM(E108:E110)</f>
        <v>415286.88</v>
      </c>
      <c r="F111" s="19"/>
      <c r="G111" s="24"/>
    </row>
    <row r="112" spans="1:8" x14ac:dyDescent="0.2">
      <c r="A112" s="19"/>
      <c r="B112" s="19"/>
      <c r="C112" s="28" t="s">
        <v>153</v>
      </c>
      <c r="D112" s="51"/>
      <c r="E112" s="51"/>
      <c r="F112" s="19"/>
      <c r="G112" s="19"/>
    </row>
    <row r="113" spans="1:8" x14ac:dyDescent="0.2">
      <c r="A113" s="19"/>
      <c r="B113" s="19"/>
      <c r="C113" s="27" t="s">
        <v>154</v>
      </c>
      <c r="D113" s="52"/>
      <c r="E113" s="53">
        <v>297835.38</v>
      </c>
      <c r="F113" s="19"/>
      <c r="G113" s="24"/>
    </row>
    <row r="114" spans="1:8" x14ac:dyDescent="0.2">
      <c r="A114" s="19"/>
      <c r="B114" s="19"/>
      <c r="C114" s="25" t="s">
        <v>116</v>
      </c>
      <c r="D114" s="52"/>
      <c r="E114" s="52">
        <f>E113</f>
        <v>297835.38</v>
      </c>
      <c r="F114" s="19"/>
      <c r="G114" s="24"/>
    </row>
    <row r="115" spans="1:8" x14ac:dyDescent="0.2">
      <c r="A115" s="28" t="s">
        <v>155</v>
      </c>
      <c r="B115" s="28" t="s">
        <v>142</v>
      </c>
      <c r="C115" s="28"/>
      <c r="D115" s="52"/>
      <c r="E115" s="36"/>
      <c r="F115" s="19"/>
      <c r="G115" s="19"/>
      <c r="H115" s="134"/>
    </row>
    <row r="116" spans="1:8" x14ac:dyDescent="0.2">
      <c r="A116" s="27"/>
      <c r="B116" s="27"/>
      <c r="C116" s="28" t="s">
        <v>156</v>
      </c>
      <c r="D116" s="19"/>
      <c r="E116" s="39"/>
      <c r="F116" s="19"/>
      <c r="G116" s="19"/>
    </row>
    <row r="117" spans="1:8" x14ac:dyDescent="0.2">
      <c r="A117" s="27"/>
      <c r="B117" s="27"/>
      <c r="C117" s="27" t="s">
        <v>157</v>
      </c>
      <c r="D117" s="19"/>
      <c r="E117" s="22">
        <v>569936.86</v>
      </c>
      <c r="F117" s="19"/>
      <c r="G117" s="19"/>
    </row>
    <row r="118" spans="1:8" x14ac:dyDescent="0.2">
      <c r="A118" s="51"/>
      <c r="B118" s="51"/>
      <c r="C118" s="27" t="s">
        <v>158</v>
      </c>
      <c r="D118" s="52"/>
      <c r="E118" s="38"/>
      <c r="F118" s="19"/>
      <c r="G118" s="24"/>
    </row>
    <row r="119" spans="1:8" x14ac:dyDescent="0.2">
      <c r="A119" s="51"/>
      <c r="B119" s="51"/>
      <c r="C119" s="27" t="s">
        <v>159</v>
      </c>
      <c r="D119" s="52"/>
      <c r="E119" s="38"/>
      <c r="F119" s="19"/>
      <c r="G119" s="24"/>
    </row>
    <row r="120" spans="1:8" x14ac:dyDescent="0.2">
      <c r="A120" s="51"/>
      <c r="B120" s="51"/>
      <c r="C120" s="27" t="s">
        <v>160</v>
      </c>
      <c r="D120" s="52"/>
      <c r="E120" s="38">
        <v>351173.11</v>
      </c>
      <c r="F120" s="19"/>
      <c r="G120" s="24"/>
    </row>
    <row r="121" spans="1:8" x14ac:dyDescent="0.2">
      <c r="A121" s="19"/>
      <c r="B121" s="19"/>
      <c r="C121" s="27" t="s">
        <v>161</v>
      </c>
      <c r="D121" s="52"/>
      <c r="E121" s="53">
        <v>696970.72</v>
      </c>
      <c r="F121" s="19"/>
      <c r="G121" s="19"/>
    </row>
    <row r="122" spans="1:8" x14ac:dyDescent="0.2">
      <c r="A122" s="51"/>
      <c r="B122" s="51"/>
      <c r="C122" s="25" t="s">
        <v>116</v>
      </c>
      <c r="D122" s="52"/>
      <c r="E122" s="52">
        <f>SUM(E117:E121)</f>
        <v>1618080.69</v>
      </c>
      <c r="F122" s="19"/>
      <c r="G122" s="39"/>
    </row>
    <row r="123" spans="1:8" ht="15" thickBot="1" x14ac:dyDescent="0.25">
      <c r="A123" s="20" t="s">
        <v>260</v>
      </c>
      <c r="B123" s="20"/>
      <c r="C123" s="20"/>
      <c r="D123" s="19"/>
      <c r="E123" s="36"/>
      <c r="F123" s="19"/>
      <c r="G123" s="54">
        <f>SUM(E111+E114+E122)</f>
        <v>2331202.9500000002</v>
      </c>
    </row>
    <row r="124" spans="1:8" ht="15" thickTop="1" x14ac:dyDescent="0.2">
      <c r="A124" s="19"/>
      <c r="B124" s="19"/>
      <c r="C124" s="19"/>
      <c r="D124" s="19"/>
      <c r="E124" s="19"/>
      <c r="F124" s="19"/>
      <c r="G124" s="24"/>
      <c r="H124" s="134"/>
    </row>
    <row r="125" spans="1:8" x14ac:dyDescent="0.2">
      <c r="A125" s="19"/>
      <c r="B125" s="19"/>
      <c r="C125" s="19"/>
      <c r="D125" s="19"/>
      <c r="E125" s="19"/>
      <c r="F125" s="19"/>
      <c r="G125" s="24"/>
      <c r="H125" s="134"/>
    </row>
    <row r="126" spans="1:8" x14ac:dyDescent="0.2">
      <c r="A126" s="27" t="s">
        <v>162</v>
      </c>
      <c r="B126" s="51"/>
      <c r="C126" s="51"/>
      <c r="D126" s="156"/>
      <c r="E126" s="156"/>
      <c r="F126" s="19"/>
      <c r="G126" s="24"/>
    </row>
    <row r="127" spans="1:8" x14ac:dyDescent="0.2">
      <c r="A127" s="27"/>
      <c r="B127" s="51"/>
      <c r="C127" s="51"/>
      <c r="D127" s="156"/>
      <c r="E127" s="156"/>
      <c r="F127" s="19"/>
      <c r="G127" s="24"/>
    </row>
    <row r="128" spans="1:8" x14ac:dyDescent="0.2">
      <c r="A128" s="27"/>
      <c r="B128" s="51"/>
      <c r="C128" s="51"/>
      <c r="D128" s="156"/>
      <c r="E128" s="156"/>
      <c r="F128" s="19"/>
      <c r="G128" s="24"/>
    </row>
    <row r="129" spans="1:7" x14ac:dyDescent="0.2">
      <c r="A129" s="27"/>
      <c r="B129" s="51"/>
      <c r="C129" s="153" t="s">
        <v>163</v>
      </c>
      <c r="D129" s="156"/>
      <c r="E129" s="156"/>
      <c r="F129" s="19"/>
      <c r="G129" s="24"/>
    </row>
    <row r="130" spans="1:7" x14ac:dyDescent="0.2">
      <c r="A130" s="27"/>
      <c r="B130" s="51"/>
      <c r="C130" s="156" t="s">
        <v>164</v>
      </c>
      <c r="D130" s="27"/>
      <c r="E130" s="27"/>
      <c r="F130" s="19"/>
      <c r="G130" s="24"/>
    </row>
    <row r="131" spans="1:7" x14ac:dyDescent="0.2">
      <c r="A131" s="27"/>
      <c r="B131" s="27"/>
      <c r="C131" s="156"/>
      <c r="D131" s="45"/>
      <c r="E131" s="156"/>
      <c r="F131" s="19"/>
      <c r="G131" s="19"/>
    </row>
    <row r="132" spans="1:7" x14ac:dyDescent="0.2">
      <c r="A132" s="27"/>
      <c r="B132" s="27"/>
      <c r="C132" s="156"/>
      <c r="D132" s="45" t="s">
        <v>165</v>
      </c>
      <c r="E132" s="156"/>
      <c r="F132" s="19"/>
      <c r="G132" s="19"/>
    </row>
    <row r="133" spans="1:7" x14ac:dyDescent="0.2">
      <c r="A133" s="27"/>
      <c r="B133" s="27"/>
      <c r="C133" s="156"/>
      <c r="D133" s="45"/>
      <c r="E133" s="156"/>
      <c r="F133" s="19"/>
      <c r="G133" s="19"/>
    </row>
    <row r="134" spans="1:7" x14ac:dyDescent="0.2">
      <c r="A134" s="27"/>
      <c r="B134" s="27"/>
      <c r="C134" s="156"/>
      <c r="D134" s="51"/>
      <c r="E134" s="51"/>
      <c r="F134" s="19"/>
      <c r="G134" s="19"/>
    </row>
    <row r="135" spans="1:7" x14ac:dyDescent="0.2">
      <c r="A135" s="27"/>
      <c r="B135" s="27"/>
      <c r="C135" s="156"/>
      <c r="D135" s="189" t="s">
        <v>59</v>
      </c>
      <c r="E135" s="190"/>
      <c r="F135" s="190"/>
      <c r="G135" s="190"/>
    </row>
    <row r="136" spans="1:7" x14ac:dyDescent="0.2">
      <c r="A136" s="27"/>
      <c r="B136" s="27"/>
      <c r="C136" s="156"/>
      <c r="D136" s="191" t="s">
        <v>261</v>
      </c>
      <c r="E136" s="191"/>
      <c r="F136" s="191"/>
      <c r="G136" s="191"/>
    </row>
    <row r="137" spans="1:7" x14ac:dyDescent="0.2">
      <c r="A137" s="19"/>
      <c r="B137" s="19"/>
      <c r="C137" s="19"/>
      <c r="D137" s="19"/>
      <c r="E137" s="27"/>
      <c r="F137" s="19"/>
      <c r="G137" s="19"/>
    </row>
    <row r="138" spans="1:7" x14ac:dyDescent="0.2">
      <c r="A138" s="27"/>
      <c r="B138" s="27"/>
      <c r="C138" s="156"/>
      <c r="D138" s="19"/>
      <c r="E138" s="19"/>
      <c r="F138" s="19"/>
      <c r="G138" s="19"/>
    </row>
    <row r="139" spans="1:7" x14ac:dyDescent="0.2">
      <c r="A139" s="27"/>
      <c r="B139" s="27"/>
      <c r="C139" s="156"/>
      <c r="D139" s="27" t="s">
        <v>166</v>
      </c>
      <c r="E139" s="27"/>
      <c r="F139" s="19"/>
      <c r="G139" s="19"/>
    </row>
    <row r="140" spans="1:7" x14ac:dyDescent="0.2">
      <c r="A140" s="27"/>
      <c r="B140" s="27"/>
      <c r="C140" s="156"/>
      <c r="D140" s="27"/>
      <c r="E140" s="27"/>
      <c r="F140" s="19"/>
      <c r="G140" s="19"/>
    </row>
    <row r="141" spans="1:7" x14ac:dyDescent="0.2">
      <c r="A141" s="27"/>
      <c r="B141" s="27"/>
      <c r="C141" s="156"/>
      <c r="D141" s="51"/>
      <c r="E141" s="51"/>
      <c r="F141" s="19"/>
      <c r="G141" s="19"/>
    </row>
    <row r="142" spans="1:7" x14ac:dyDescent="0.2">
      <c r="A142" s="27"/>
      <c r="B142" s="27"/>
      <c r="C142" s="156"/>
      <c r="D142" s="189" t="s">
        <v>167</v>
      </c>
      <c r="E142" s="189"/>
      <c r="F142" s="189"/>
      <c r="G142" s="189"/>
    </row>
    <row r="143" spans="1:7" x14ac:dyDescent="0.2">
      <c r="A143" s="51"/>
      <c r="B143" s="51"/>
      <c r="C143" s="51"/>
      <c r="D143" s="191" t="s">
        <v>168</v>
      </c>
      <c r="E143" s="191"/>
      <c r="F143" s="191"/>
      <c r="G143" s="191"/>
    </row>
    <row r="144" spans="1:7" x14ac:dyDescent="0.2">
      <c r="A144" s="51"/>
      <c r="B144" s="51"/>
      <c r="C144" s="51"/>
      <c r="D144" s="156"/>
      <c r="E144" s="156"/>
      <c r="F144" s="156"/>
      <c r="G144" s="156"/>
    </row>
    <row r="145" spans="1:7" x14ac:dyDescent="0.2">
      <c r="A145" s="51"/>
      <c r="B145" s="51"/>
      <c r="C145" s="51"/>
      <c r="D145" s="156"/>
      <c r="E145" s="156"/>
      <c r="F145" s="156"/>
      <c r="G145" s="156"/>
    </row>
    <row r="146" spans="1:7" x14ac:dyDescent="0.2">
      <c r="A146" s="27"/>
      <c r="B146" s="27"/>
      <c r="C146" s="156"/>
      <c r="D146" s="27" t="s">
        <v>262</v>
      </c>
      <c r="E146" s="27"/>
      <c r="F146" s="19"/>
      <c r="G146" s="19"/>
    </row>
    <row r="147" spans="1:7" x14ac:dyDescent="0.2">
      <c r="A147" s="27"/>
      <c r="B147" s="27"/>
      <c r="C147" s="156"/>
      <c r="D147" s="27"/>
      <c r="E147" s="27"/>
      <c r="F147" s="19"/>
      <c r="G147" s="19"/>
    </row>
    <row r="148" spans="1:7" x14ac:dyDescent="0.2">
      <c r="A148" s="27"/>
      <c r="B148" s="27"/>
      <c r="C148" s="156"/>
      <c r="D148" s="51"/>
      <c r="E148" s="51"/>
      <c r="F148" s="19"/>
      <c r="G148" s="19"/>
    </row>
    <row r="149" spans="1:7" x14ac:dyDescent="0.2">
      <c r="A149" s="27"/>
      <c r="B149" s="27"/>
      <c r="C149" s="156"/>
      <c r="D149" s="189" t="s">
        <v>170</v>
      </c>
      <c r="E149" s="189"/>
      <c r="F149" s="189"/>
      <c r="G149" s="189"/>
    </row>
    <row r="150" spans="1:7" x14ac:dyDescent="0.2">
      <c r="A150" s="51"/>
      <c r="B150" s="51"/>
      <c r="C150" s="51"/>
      <c r="D150" s="191" t="s">
        <v>263</v>
      </c>
      <c r="E150" s="191"/>
      <c r="F150" s="191"/>
      <c r="G150" s="191"/>
    </row>
    <row r="151" spans="1:7" x14ac:dyDescent="0.2">
      <c r="A151" s="51"/>
      <c r="B151" s="51"/>
      <c r="C151" s="51"/>
      <c r="D151" s="156"/>
      <c r="E151" s="156"/>
      <c r="F151" s="156"/>
      <c r="G151" s="156"/>
    </row>
    <row r="152" spans="1:7" x14ac:dyDescent="0.2">
      <c r="A152" s="191" t="s">
        <v>169</v>
      </c>
      <c r="B152" s="191"/>
      <c r="C152" s="191"/>
      <c r="D152" s="191"/>
      <c r="E152" s="191"/>
      <c r="F152" s="191"/>
      <c r="G152" s="191"/>
    </row>
    <row r="153" spans="1:7" x14ac:dyDescent="0.2">
      <c r="A153" s="27"/>
      <c r="B153" s="27"/>
      <c r="C153" s="51"/>
      <c r="D153" s="51"/>
      <c r="E153" s="51"/>
      <c r="F153" s="19"/>
      <c r="G153" s="19"/>
    </row>
    <row r="154" spans="1:7" ht="15" customHeight="1" x14ac:dyDescent="0.2">
      <c r="A154" s="189" t="s">
        <v>171</v>
      </c>
      <c r="B154" s="189"/>
      <c r="C154" s="189"/>
      <c r="D154" s="189"/>
      <c r="E154" s="189"/>
      <c r="F154" s="189"/>
      <c r="G154" s="189"/>
    </row>
    <row r="155" spans="1:7" x14ac:dyDescent="0.2">
      <c r="A155" s="189"/>
      <c r="B155" s="189"/>
      <c r="C155" s="189"/>
      <c r="D155" s="189"/>
      <c r="E155" s="189"/>
      <c r="F155" s="189"/>
      <c r="G155" s="189"/>
    </row>
    <row r="156" spans="1:7" ht="15" customHeight="1" x14ac:dyDescent="0.2">
      <c r="A156" s="192" t="s">
        <v>172</v>
      </c>
      <c r="B156" s="192"/>
      <c r="C156" s="192"/>
      <c r="D156" s="192"/>
      <c r="E156" s="192"/>
      <c r="F156" s="192"/>
      <c r="G156" s="192"/>
    </row>
    <row r="174" spans="1:7" x14ac:dyDescent="0.2">
      <c r="A174" s="188" t="s">
        <v>173</v>
      </c>
      <c r="B174" s="188"/>
      <c r="C174" s="188"/>
      <c r="D174" s="188"/>
      <c r="E174" s="188"/>
      <c r="F174" s="188"/>
      <c r="G174" s="188"/>
    </row>
    <row r="175" spans="1:7" x14ac:dyDescent="0.2">
      <c r="A175" s="155"/>
      <c r="B175" s="155"/>
      <c r="C175" s="155"/>
      <c r="D175" s="155"/>
      <c r="E175" s="155"/>
      <c r="F175" s="155"/>
      <c r="G175" s="155"/>
    </row>
    <row r="176" spans="1:7" x14ac:dyDescent="0.2">
      <c r="A176" s="155"/>
      <c r="B176" s="155"/>
      <c r="C176" s="155"/>
      <c r="D176" s="155"/>
      <c r="F176" s="155"/>
      <c r="G176" s="155"/>
    </row>
    <row r="177" spans="1:7" x14ac:dyDescent="0.2">
      <c r="A177" s="155"/>
      <c r="B177" s="155"/>
      <c r="C177" s="155"/>
      <c r="D177" s="155"/>
      <c r="E177" s="155"/>
      <c r="F177" s="155"/>
      <c r="G177" s="155"/>
    </row>
    <row r="178" spans="1:7" x14ac:dyDescent="0.2">
      <c r="A178" s="155"/>
      <c r="B178" s="155"/>
      <c r="C178" s="155"/>
      <c r="D178" s="155"/>
      <c r="E178" s="155"/>
      <c r="F178" s="155"/>
      <c r="G178" s="155"/>
    </row>
    <row r="179" spans="1:7" x14ac:dyDescent="0.2">
      <c r="A179" s="155"/>
      <c r="B179" s="155"/>
      <c r="C179" s="155"/>
      <c r="D179" s="155"/>
      <c r="F179" s="155"/>
      <c r="G179" s="155"/>
    </row>
    <row r="180" spans="1:7" x14ac:dyDescent="0.2">
      <c r="A180" s="155"/>
      <c r="B180" s="155"/>
      <c r="C180" s="155"/>
      <c r="D180" s="155"/>
      <c r="E180" s="155"/>
      <c r="F180" s="155"/>
      <c r="G180" s="155"/>
    </row>
    <row r="181" spans="1:7" x14ac:dyDescent="0.2">
      <c r="A181" s="155"/>
      <c r="B181" s="155"/>
      <c r="C181" s="155"/>
      <c r="D181" s="155"/>
      <c r="E181" s="155"/>
      <c r="F181" s="155"/>
      <c r="G181" s="155"/>
    </row>
    <row r="182" spans="1:7" x14ac:dyDescent="0.2">
      <c r="A182" s="155"/>
      <c r="B182" s="155"/>
      <c r="C182" s="155"/>
      <c r="D182" s="155"/>
      <c r="E182" s="155"/>
      <c r="F182" s="155"/>
      <c r="G182" s="155"/>
    </row>
    <row r="183" spans="1:7" x14ac:dyDescent="0.2">
      <c r="A183" s="155"/>
      <c r="B183" s="155"/>
      <c r="C183" s="155"/>
      <c r="D183" s="155"/>
      <c r="E183" s="155"/>
      <c r="F183" s="155"/>
      <c r="G183" s="155"/>
    </row>
    <row r="184" spans="1:7" x14ac:dyDescent="0.2">
      <c r="A184" s="155"/>
      <c r="B184" s="155"/>
      <c r="C184" s="155"/>
      <c r="D184" s="155"/>
      <c r="E184" s="155"/>
      <c r="F184" s="155"/>
      <c r="G184" s="155"/>
    </row>
    <row r="185" spans="1:7" x14ac:dyDescent="0.2">
      <c r="A185" s="155"/>
      <c r="B185" s="155"/>
      <c r="C185" s="155"/>
      <c r="D185" s="155"/>
      <c r="E185" s="155"/>
      <c r="F185" s="155"/>
      <c r="G185" s="155"/>
    </row>
    <row r="186" spans="1:7" x14ac:dyDescent="0.2">
      <c r="A186" s="155"/>
      <c r="B186" s="155"/>
      <c r="C186" s="155"/>
      <c r="D186" s="155"/>
      <c r="E186" s="155"/>
      <c r="F186" s="155"/>
      <c r="G186" s="155"/>
    </row>
    <row r="187" spans="1:7" x14ac:dyDescent="0.2">
      <c r="A187" s="155"/>
      <c r="B187" s="155"/>
      <c r="C187" s="155"/>
      <c r="D187" s="155"/>
      <c r="E187" s="155"/>
      <c r="F187" s="155"/>
      <c r="G187" s="155"/>
    </row>
    <row r="188" spans="1:7" x14ac:dyDescent="0.2">
      <c r="A188" s="155"/>
      <c r="B188" s="155"/>
      <c r="C188" s="155"/>
      <c r="D188" s="155"/>
      <c r="E188" s="155"/>
      <c r="F188" s="155"/>
      <c r="G188" s="155"/>
    </row>
    <row r="189" spans="1:7" x14ac:dyDescent="0.2">
      <c r="A189" s="188"/>
      <c r="B189" s="188"/>
      <c r="C189" s="188"/>
      <c r="D189" s="188"/>
      <c r="E189" s="188"/>
      <c r="F189" s="188"/>
      <c r="G189" s="188"/>
    </row>
    <row r="190" spans="1:7" x14ac:dyDescent="0.2">
      <c r="A190" s="188"/>
      <c r="B190" s="188"/>
      <c r="C190" s="188"/>
      <c r="D190" s="188"/>
      <c r="E190" s="188"/>
      <c r="F190" s="188"/>
      <c r="G190" s="188"/>
    </row>
    <row r="192" spans="1:7" x14ac:dyDescent="0.2">
      <c r="A192" s="188"/>
      <c r="B192" s="188"/>
      <c r="C192" s="188"/>
      <c r="D192" s="188"/>
      <c r="E192" s="188"/>
      <c r="F192" s="188"/>
      <c r="G192" s="188"/>
    </row>
    <row r="193" spans="1:7" x14ac:dyDescent="0.2">
      <c r="A193" s="188"/>
      <c r="B193" s="188"/>
      <c r="C193" s="188"/>
      <c r="D193" s="188"/>
      <c r="E193" s="188"/>
      <c r="F193" s="188"/>
      <c r="G193" s="188"/>
    </row>
    <row r="194" spans="1:7" x14ac:dyDescent="0.2">
      <c r="A194" s="155"/>
      <c r="B194" s="155"/>
      <c r="C194" s="155"/>
      <c r="D194" s="155"/>
      <c r="E194" s="155"/>
    </row>
    <row r="195" spans="1:7" ht="15" x14ac:dyDescent="0.25">
      <c r="D195" s="139"/>
      <c r="G195" s="144"/>
    </row>
    <row r="196" spans="1:7" x14ac:dyDescent="0.2">
      <c r="B196" s="136"/>
      <c r="C196" s="136"/>
    </row>
    <row r="197" spans="1:7" x14ac:dyDescent="0.2">
      <c r="B197" s="136"/>
      <c r="C197" s="136"/>
    </row>
    <row r="198" spans="1:7" x14ac:dyDescent="0.2">
      <c r="B198" s="136"/>
      <c r="C198" s="136"/>
    </row>
    <row r="199" spans="1:7" x14ac:dyDescent="0.2">
      <c r="B199" s="136"/>
      <c r="C199" s="136"/>
      <c r="D199" s="145"/>
    </row>
    <row r="200" spans="1:7" x14ac:dyDescent="0.2">
      <c r="B200" s="136"/>
      <c r="C200" s="136"/>
      <c r="D200" s="145"/>
    </row>
    <row r="201" spans="1:7" x14ac:dyDescent="0.2">
      <c r="B201" s="136"/>
      <c r="C201" s="136"/>
      <c r="D201" s="145"/>
      <c r="E201" s="133"/>
    </row>
    <row r="202" spans="1:7" ht="15" x14ac:dyDescent="0.25">
      <c r="B202" s="136"/>
      <c r="C202" s="135"/>
      <c r="D202" s="145"/>
    </row>
    <row r="203" spans="1:7" ht="15" x14ac:dyDescent="0.25">
      <c r="B203" s="136"/>
      <c r="C203" s="137"/>
      <c r="G203" s="139"/>
    </row>
    <row r="204" spans="1:7" ht="15" x14ac:dyDescent="0.25">
      <c r="B204" s="136"/>
      <c r="C204" s="137"/>
      <c r="G204" s="146"/>
    </row>
    <row r="205" spans="1:7" x14ac:dyDescent="0.2">
      <c r="B205" s="136"/>
      <c r="C205" s="136"/>
    </row>
    <row r="206" spans="1:7" x14ac:dyDescent="0.2">
      <c r="B206" s="136"/>
      <c r="C206" s="136"/>
    </row>
    <row r="207" spans="1:7" x14ac:dyDescent="0.2">
      <c r="B207" s="136"/>
      <c r="C207" s="136"/>
      <c r="G207" s="133"/>
    </row>
    <row r="208" spans="1:7" ht="15" x14ac:dyDescent="0.25">
      <c r="B208" s="136"/>
      <c r="C208" s="131"/>
      <c r="G208" s="147"/>
    </row>
    <row r="210" spans="1:7" x14ac:dyDescent="0.2">
      <c r="C210" s="148"/>
    </row>
    <row r="212" spans="1:7" x14ac:dyDescent="0.2">
      <c r="B212" s="136"/>
      <c r="C212" s="136"/>
      <c r="D212" s="140"/>
    </row>
    <row r="213" spans="1:7" x14ac:dyDescent="0.2">
      <c r="B213" s="136"/>
      <c r="C213" s="136"/>
      <c r="D213" s="149"/>
      <c r="E213" s="149"/>
    </row>
    <row r="214" spans="1:7" x14ac:dyDescent="0.2">
      <c r="B214" s="136"/>
      <c r="C214" s="136"/>
      <c r="D214" s="140"/>
      <c r="E214" s="140"/>
    </row>
    <row r="215" spans="1:7" ht="15" x14ac:dyDescent="0.25">
      <c r="A215" s="131"/>
      <c r="B215" s="131"/>
      <c r="C215" s="131"/>
      <c r="D215" s="150"/>
      <c r="G215" s="150"/>
    </row>
    <row r="219" spans="1:7" x14ac:dyDescent="0.2">
      <c r="A219" s="136"/>
      <c r="B219" s="143"/>
      <c r="C219" s="143"/>
      <c r="D219" s="152"/>
      <c r="E219" s="152"/>
    </row>
    <row r="220" spans="1:7" x14ac:dyDescent="0.2">
      <c r="A220" s="136"/>
      <c r="B220" s="143"/>
      <c r="C220" s="152"/>
      <c r="D220" s="152"/>
      <c r="E220" s="152"/>
    </row>
    <row r="221" spans="1:7" x14ac:dyDescent="0.2">
      <c r="A221" s="136"/>
      <c r="B221" s="143"/>
      <c r="C221" s="152"/>
      <c r="D221" s="136"/>
      <c r="E221" s="136"/>
    </row>
    <row r="222" spans="1:7" x14ac:dyDescent="0.2">
      <c r="A222" s="136"/>
      <c r="B222" s="136"/>
      <c r="C222" s="152"/>
      <c r="D222" s="142"/>
      <c r="E222" s="152"/>
    </row>
    <row r="223" spans="1:7" x14ac:dyDescent="0.2">
      <c r="A223" s="136"/>
      <c r="B223" s="136"/>
      <c r="C223" s="152"/>
      <c r="D223" s="142"/>
      <c r="E223" s="152"/>
    </row>
    <row r="224" spans="1:7" x14ac:dyDescent="0.2">
      <c r="A224" s="136"/>
      <c r="B224" s="136"/>
      <c r="C224" s="152"/>
      <c r="D224" s="143"/>
      <c r="E224" s="143"/>
    </row>
    <row r="225" spans="1:7" x14ac:dyDescent="0.2">
      <c r="A225" s="136"/>
      <c r="B225" s="136"/>
      <c r="C225" s="152"/>
      <c r="D225" s="186"/>
      <c r="E225" s="186"/>
      <c r="F225" s="186"/>
      <c r="G225" s="186"/>
    </row>
    <row r="226" spans="1:7" x14ac:dyDescent="0.2">
      <c r="A226" s="136"/>
      <c r="B226" s="136"/>
      <c r="C226" s="152"/>
      <c r="D226" s="186"/>
      <c r="E226" s="186"/>
      <c r="F226" s="186"/>
      <c r="G226" s="186"/>
    </row>
    <row r="227" spans="1:7" x14ac:dyDescent="0.2">
      <c r="A227" s="136"/>
      <c r="B227" s="136"/>
      <c r="C227" s="152"/>
      <c r="D227" s="136"/>
      <c r="E227" s="136"/>
    </row>
    <row r="228" spans="1:7" x14ac:dyDescent="0.2">
      <c r="A228" s="136"/>
      <c r="B228" s="136"/>
      <c r="C228" s="152"/>
      <c r="D228" s="136"/>
      <c r="E228" s="136"/>
    </row>
    <row r="229" spans="1:7" x14ac:dyDescent="0.2">
      <c r="A229" s="136"/>
      <c r="B229" s="136"/>
      <c r="C229" s="152"/>
      <c r="D229" s="143"/>
      <c r="E229" s="143"/>
    </row>
    <row r="230" spans="1:7" x14ac:dyDescent="0.2">
      <c r="A230" s="136"/>
      <c r="B230" s="136"/>
      <c r="C230" s="152"/>
      <c r="D230" s="186"/>
      <c r="E230" s="186"/>
      <c r="F230" s="186"/>
      <c r="G230" s="186"/>
    </row>
    <row r="231" spans="1:7" x14ac:dyDescent="0.2">
      <c r="A231" s="143"/>
      <c r="B231" s="143"/>
      <c r="C231" s="143"/>
      <c r="D231" s="186"/>
      <c r="E231" s="186"/>
      <c r="F231" s="186"/>
      <c r="G231" s="186"/>
    </row>
    <row r="232" spans="1:7" x14ac:dyDescent="0.2">
      <c r="A232" s="143"/>
      <c r="B232" s="143"/>
      <c r="C232" s="143"/>
      <c r="D232" s="152"/>
      <c r="E232" s="152"/>
      <c r="F232" s="152"/>
      <c r="G232" s="152"/>
    </row>
    <row r="233" spans="1:7" x14ac:dyDescent="0.2">
      <c r="A233" s="186"/>
      <c r="B233" s="186"/>
      <c r="C233" s="186"/>
      <c r="D233" s="186"/>
      <c r="E233" s="186"/>
      <c r="F233" s="186"/>
      <c r="G233" s="186"/>
    </row>
    <row r="234" spans="1:7" x14ac:dyDescent="0.2">
      <c r="A234" s="136"/>
      <c r="B234" s="136"/>
      <c r="C234" s="143"/>
      <c r="D234" s="143"/>
      <c r="E234" s="143"/>
    </row>
    <row r="235" spans="1:7" x14ac:dyDescent="0.2">
      <c r="A235" s="186"/>
      <c r="B235" s="186"/>
      <c r="C235" s="186"/>
      <c r="D235" s="186"/>
      <c r="E235" s="186"/>
      <c r="F235" s="186"/>
      <c r="G235" s="186"/>
    </row>
    <row r="236" spans="1:7" x14ac:dyDescent="0.2">
      <c r="A236" s="186"/>
      <c r="B236" s="186"/>
      <c r="C236" s="186"/>
      <c r="D236" s="186"/>
      <c r="E236" s="186"/>
      <c r="F236" s="186"/>
      <c r="G236" s="186"/>
    </row>
  </sheetData>
  <mergeCells count="28">
    <mergeCell ref="A235:C235"/>
    <mergeCell ref="D235:G235"/>
    <mergeCell ref="A236:C236"/>
    <mergeCell ref="D236:G236"/>
    <mergeCell ref="D225:G225"/>
    <mergeCell ref="D226:G226"/>
    <mergeCell ref="D230:G230"/>
    <mergeCell ref="D231:G231"/>
    <mergeCell ref="A233:G233"/>
    <mergeCell ref="A1:G1"/>
    <mergeCell ref="A2:G2"/>
    <mergeCell ref="A3:G3"/>
    <mergeCell ref="A5:G5"/>
    <mergeCell ref="A6:G6"/>
    <mergeCell ref="A192:G192"/>
    <mergeCell ref="A193:G193"/>
    <mergeCell ref="D135:G135"/>
    <mergeCell ref="D136:G136"/>
    <mergeCell ref="D142:G142"/>
    <mergeCell ref="D143:G143"/>
    <mergeCell ref="A190:G190"/>
    <mergeCell ref="D149:G149"/>
    <mergeCell ref="D150:G150"/>
    <mergeCell ref="A152:G152"/>
    <mergeCell ref="A154:G155"/>
    <mergeCell ref="A189:G189"/>
    <mergeCell ref="A174:G174"/>
    <mergeCell ref="A156:G1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Disbursement</vt:lpstr>
      <vt:lpstr>Cash Receipt</vt:lpstr>
      <vt:lpstr>SUMMARY</vt:lpstr>
      <vt:lpstr>FOR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2026-03-27T02:40:19Z</cp:lastPrinted>
  <dcterms:created xsi:type="dcterms:W3CDTF">2025-12-05T05:09:10Z</dcterms:created>
  <dcterms:modified xsi:type="dcterms:W3CDTF">2026-03-27T08:04:45Z</dcterms:modified>
</cp:coreProperties>
</file>