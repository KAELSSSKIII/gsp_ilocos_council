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drawings/drawing7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8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11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12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13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drawings/drawing16.xml" ContentType="application/vnd.openxmlformats-officedocument.drawing+xml"/>
  <Override PartName="/xl/ctrlProps/ctrlProp25.xml" ContentType="application/vnd.ms-excel.controlproperties+xml"/>
  <Override PartName="/xl/ctrlProps/ctrlProp26.xml" ContentType="application/vnd.ms-excel.controlproperties+xml"/>
  <Override PartName="/xl/drawings/drawing17.xml" ContentType="application/vnd.openxmlformats-officedocument.drawing+xml"/>
  <Override PartName="/xl/ctrlProps/ctrlProp27.xml" ContentType="application/vnd.ms-excel.controlproperties+xml"/>
  <Override PartName="/xl/ctrlProps/ctrlProp28.xml" ContentType="application/vnd.ms-excel.controlproperties+xml"/>
  <Override PartName="/xl/drawings/drawing18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drawings/drawing19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trlProps/ctrlProp33.xml" ContentType="application/vnd.ms-excel.controlproperties+xml"/>
  <Override PartName="/xl/ctrlProps/ctrlProp34.xml" ContentType="application/vnd.ms-excel.controlproperties+xml"/>
  <Override PartName="/xl/drawings/drawing22.xml" ContentType="application/vnd.openxmlformats-officedocument.drawing+xml"/>
  <Override PartName="/xl/ctrlProps/ctrlProp35.xml" ContentType="application/vnd.ms-excel.controlproperties+xml"/>
  <Override PartName="/xl/ctrlProps/ctrlProp36.xml" ContentType="application/vnd.ms-excel.controlproperties+xml"/>
  <Override PartName="/xl/drawings/drawing23.xml" ContentType="application/vnd.openxmlformats-officedocument.drawing+xml"/>
  <Override PartName="/xl/ctrlProps/ctrlProp37.xml" ContentType="application/vnd.ms-excel.controlproperties+xml"/>
  <Override PartName="/xl/ctrlProps/ctrlProp38.xml" ContentType="application/vnd.ms-excel.controlproperties+xml"/>
  <Override PartName="/xl/drawings/drawing24.xml" ContentType="application/vnd.openxmlformats-officedocument.drawing+xml"/>
  <Override PartName="/xl/ctrlProps/ctrlProp39.xml" ContentType="application/vnd.ms-excel.controlproperties+xml"/>
  <Override PartName="/xl/ctrlProps/ctrlProp40.xml" ContentType="application/vnd.ms-excel.controlproperties+xml"/>
  <Override PartName="/xl/drawings/drawing25.xml" ContentType="application/vnd.openxmlformats-officedocument.drawing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drawings/drawing28.xml" ContentType="application/vnd.openxmlformats-officedocument.drawing+xml"/>
  <Override PartName="/xl/ctrlProps/ctrlProp45.xml" ContentType="application/vnd.ms-excel.controlproperties+xml"/>
  <Override PartName="/xl/ctrlProps/ctrlProp46.xml" ContentType="application/vnd.ms-excel.controlproperties+xml"/>
  <Override PartName="/xl/drawings/drawing29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drawings/drawing30.xml" ContentType="application/vnd.openxmlformats-officedocument.drawing+xml"/>
  <Override PartName="/xl/ctrlProps/ctrlProp49.xml" ContentType="application/vnd.ms-excel.controlproperties+xml"/>
  <Override PartName="/xl/ctrlProps/ctrlProp50.xml" ContentType="application/vnd.ms-excel.controlproperties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drawings/drawing33.xml" ContentType="application/vnd.openxmlformats-officedocument.drawing+xml"/>
  <Override PartName="/xl/ctrlProps/ctrlProp54.xml" ContentType="application/vnd.ms-excel.controlproperties+xml"/>
  <Override PartName="/xl/ctrlProps/ctrlProp55.xml" ContentType="application/vnd.ms-excel.controlproperties+xml"/>
  <Override PartName="/xl/drawings/drawing34.xml" ContentType="application/vnd.openxmlformats-officedocument.drawing+xml"/>
  <Override PartName="/xl/ctrlProps/ctrlProp56.xml" ContentType="application/vnd.ms-excel.controlproperties+xml"/>
  <Override PartName="/xl/ctrlProps/ctrlProp57.xml" ContentType="application/vnd.ms-excel.controlproperties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trlProps/ctrlProp58.xml" ContentType="application/vnd.ms-excel.controlproperties+xml"/>
  <Override PartName="/xl/ctrlProps/ctrlProp59.xml" ContentType="application/vnd.ms-excel.controlproperties+xml"/>
  <Override PartName="/xl/drawings/drawing37.xml" ContentType="application/vnd.openxmlformats-officedocument.drawing+xml"/>
  <Override PartName="/xl/ctrlProps/ctrlProp60.xml" ContentType="application/vnd.ms-excel.controlproperties+xml"/>
  <Override PartName="/xl/ctrlProps/ctrlProp61.xml" ContentType="application/vnd.ms-excel.controlproperties+xml"/>
  <Override PartName="/xl/drawings/drawing38.xml" ContentType="application/vnd.openxmlformats-officedocument.drawing+xml"/>
  <Override PartName="/xl/ctrlProps/ctrlProp62.xml" ContentType="application/vnd.ms-excel.controlproperties+xml"/>
  <Override PartName="/xl/ctrlProps/ctrlProp63.xml" ContentType="application/vnd.ms-excel.controlproperties+xml"/>
  <Override PartName="/xl/drawings/drawing39.xml" ContentType="application/vnd.openxmlformats-officedocument.drawing+xml"/>
  <Override PartName="/xl/ctrlProps/ctrlProp64.xml" ContentType="application/vnd.ms-excel.controlproperties+xml"/>
  <Override PartName="/xl/ctrlProps/ctrlProp65.xml" ContentType="application/vnd.ms-excel.controlproperties+xml"/>
  <Override PartName="/xl/drawings/drawing40.xml" ContentType="application/vnd.openxmlformats-officedocument.drawing+xml"/>
  <Override PartName="/xl/ctrlProps/ctrlProp66.xml" ContentType="application/vnd.ms-excel.controlproperties+xml"/>
  <Override PartName="/xl/ctrlProps/ctrlProp67.xml" ContentType="application/vnd.ms-excel.controlproperties+xml"/>
  <Override PartName="/xl/drawings/drawing41.xml" ContentType="application/vnd.openxmlformats-officedocument.drawing+xml"/>
  <Override PartName="/xl/ctrlProps/ctrlProp68.xml" ContentType="application/vnd.ms-excel.controlproperties+xml"/>
  <Override PartName="/xl/ctrlProps/ctrlProp69.xml" ContentType="application/vnd.ms-excel.controlproperties+xml"/>
  <Override PartName="/xl/drawings/drawing4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dc\GSP Financial Docs\FEBRUARY 2026\"/>
    </mc:Choice>
  </mc:AlternateContent>
  <xr:revisionPtr revIDLastSave="0" documentId="13_ncr:1_{352DEDDE-32CF-48D2-A8CD-DE91FCD97BB5}" xr6:coauthVersionLast="45" xr6:coauthVersionMax="45" xr10:uidLastSave="{00000000-0000-0000-0000-000000000000}"/>
  <bookViews>
    <workbookView xWindow="-120" yWindow="-120" windowWidth="29040" windowHeight="15720" firstSheet="46" activeTab="56" xr2:uid="{08C8F2B7-B2EF-44C8-A5E0-2D19971D26AC}"/>
  </bookViews>
  <sheets>
    <sheet name="salary feb 1" sheetId="14" r:id="rId1"/>
    <sheet name="electric" sheetId="31" r:id="rId2"/>
    <sheet name="eb" sheetId="32" r:id="rId3"/>
    <sheet name="pldt" sheetId="33" r:id="rId4"/>
    <sheet name="salary feb 16" sheetId="35" r:id="rId5"/>
    <sheet name="sdd" sheetId="36" r:id="rId6"/>
    <sheet name="prem" sheetId="37" r:id="rId7"/>
    <sheet name="203648" sheetId="38" r:id="rId8"/>
    <sheet name="203649" sheetId="43" r:id="rId9"/>
    <sheet name="203650" sheetId="44" r:id="rId10"/>
    <sheet name="203651" sheetId="46" r:id="rId11"/>
    <sheet name="203652" sheetId="47" r:id="rId12"/>
    <sheet name="203652 - SD" sheetId="48" r:id="rId13"/>
    <sheet name="203653" sheetId="49" r:id="rId14"/>
    <sheet name="203653 NEW" sheetId="51" r:id="rId15"/>
    <sheet name="203654" sheetId="52" r:id="rId16"/>
    <sheet name="203655" sheetId="53" r:id="rId17"/>
    <sheet name="203656" sheetId="54" r:id="rId18"/>
    <sheet name="203656 - SD" sheetId="55" r:id="rId19"/>
    <sheet name="203657" sheetId="56" r:id="rId20"/>
    <sheet name="203658" sheetId="57" r:id="rId21"/>
    <sheet name="203659" sheetId="58" r:id="rId22"/>
    <sheet name="203659 - sd" sheetId="59" r:id="rId23"/>
    <sheet name="203660" sheetId="60" r:id="rId24"/>
    <sheet name="203661" sheetId="61" r:id="rId25"/>
    <sheet name="203662" sheetId="62" r:id="rId26"/>
    <sheet name="203663" sheetId="63" r:id="rId27"/>
    <sheet name="203663 - SD" sheetId="64" r:id="rId28"/>
    <sheet name="203664" sheetId="66" r:id="rId29"/>
    <sheet name="203665" sheetId="67" r:id="rId30"/>
    <sheet name="203665 - SD" sheetId="70" r:id="rId31"/>
    <sheet name="203666" sheetId="73" r:id="rId32"/>
    <sheet name="203667" sheetId="76" r:id="rId33"/>
    <sheet name="203668" sheetId="74" r:id="rId34"/>
    <sheet name="203668 - SD" sheetId="75" r:id="rId35"/>
    <sheet name="203669" sheetId="77" r:id="rId36"/>
    <sheet name="203670" sheetId="78" r:id="rId37"/>
    <sheet name="203671" sheetId="79" r:id="rId38"/>
    <sheet name="203672" sheetId="80" r:id="rId39"/>
    <sheet name="203673" sheetId="84" r:id="rId40"/>
    <sheet name="203673 - sd" sheetId="85" r:id="rId41"/>
    <sheet name="203674" sheetId="81" r:id="rId42"/>
    <sheet name="203675" sheetId="86" r:id="rId43"/>
    <sheet name="203676 - cancelled" sheetId="87" r:id="rId44"/>
    <sheet name="203677" sheetId="89" r:id="rId45"/>
    <sheet name="203677 - SD" sheetId="88" r:id="rId46"/>
    <sheet name="203678" sheetId="90" r:id="rId47"/>
    <sheet name="203679" sheetId="91" r:id="rId48"/>
    <sheet name="203680" sheetId="93" r:id="rId49"/>
    <sheet name="203680 - sd" sheetId="92" r:id="rId50"/>
    <sheet name="203681" sheetId="94" r:id="rId51"/>
    <sheet name="203682" sheetId="95" r:id="rId52"/>
    <sheet name="203683" sheetId="96" r:id="rId53"/>
    <sheet name="203683 - sd" sheetId="97" r:id="rId54"/>
    <sheet name="203684" sheetId="98" r:id="rId55"/>
    <sheet name="203685 - cancelled" sheetId="99" r:id="rId56"/>
    <sheet name="203685" sheetId="101" r:id="rId57"/>
    <sheet name="203685 - sd" sheetId="100" r:id="rId5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7" i="101" l="1"/>
  <c r="D15" i="100"/>
  <c r="H27" i="99" l="1"/>
  <c r="H30" i="98"/>
  <c r="H30" i="96"/>
  <c r="M29" i="97"/>
  <c r="L29" i="97"/>
  <c r="K29" i="97"/>
  <c r="I29" i="97"/>
  <c r="H29" i="97"/>
  <c r="G29" i="97"/>
  <c r="F29" i="97"/>
  <c r="E29" i="97"/>
  <c r="F19" i="97"/>
  <c r="J19" i="97" s="1"/>
  <c r="N19" i="97" s="1"/>
  <c r="F18" i="97"/>
  <c r="J18" i="97" s="1"/>
  <c r="N18" i="97" s="1"/>
  <c r="F17" i="97"/>
  <c r="J17" i="97" s="1"/>
  <c r="N17" i="97" s="1"/>
  <c r="F16" i="97"/>
  <c r="J16" i="97" s="1"/>
  <c r="N16" i="97" s="1"/>
  <c r="F15" i="97"/>
  <c r="J15" i="97" s="1"/>
  <c r="N15" i="97" s="1"/>
  <c r="F14" i="97"/>
  <c r="J14" i="97" s="1"/>
  <c r="J29" i="97" l="1"/>
  <c r="N14" i="97"/>
  <c r="N29" i="97" s="1"/>
  <c r="H27" i="95" l="1"/>
  <c r="H27" i="94"/>
  <c r="H28" i="93" l="1"/>
  <c r="E33" i="92"/>
  <c r="D33" i="92"/>
  <c r="D34" i="92" l="1"/>
  <c r="H27" i="91"/>
  <c r="H27" i="90"/>
  <c r="H30" i="89" l="1"/>
  <c r="E44" i="88"/>
  <c r="E43" i="88"/>
  <c r="F43" i="88"/>
  <c r="G43" i="88"/>
  <c r="H43" i="88"/>
  <c r="H28" i="87"/>
  <c r="H27" i="86" l="1"/>
  <c r="D45" i="85" l="1"/>
  <c r="E44" i="85"/>
  <c r="F44" i="85"/>
  <c r="D44" i="85"/>
  <c r="H29" i="84"/>
  <c r="H27" i="81" l="1"/>
  <c r="H27" i="80"/>
  <c r="H27" i="79"/>
  <c r="H27" i="78"/>
  <c r="H27" i="77" l="1"/>
  <c r="H27" i="76" l="1"/>
  <c r="H29" i="74" l="1"/>
  <c r="D44" i="75"/>
  <c r="E43" i="75"/>
  <c r="F43" i="75"/>
  <c r="D43" i="75"/>
  <c r="H27" i="73" l="1"/>
  <c r="H30" i="67" l="1"/>
  <c r="K18" i="70" l="1"/>
  <c r="K14" i="70"/>
  <c r="K15" i="70"/>
  <c r="K16" i="70"/>
  <c r="K17" i="70"/>
  <c r="K13" i="70"/>
  <c r="O13" i="70"/>
  <c r="J28" i="70"/>
  <c r="N28" i="70"/>
  <c r="M28" i="70"/>
  <c r="L28" i="70"/>
  <c r="I28" i="70"/>
  <c r="H28" i="70"/>
  <c r="G28" i="70"/>
  <c r="E28" i="70"/>
  <c r="F18" i="70"/>
  <c r="F17" i="70"/>
  <c r="F16" i="70"/>
  <c r="F15" i="70"/>
  <c r="F28" i="70" s="1"/>
  <c r="F14" i="70"/>
  <c r="F13" i="70"/>
  <c r="O14" i="70" l="1"/>
  <c r="O16" i="70"/>
  <c r="O17" i="70"/>
  <c r="O18" i="70"/>
  <c r="O28" i="70" s="1"/>
  <c r="O15" i="70"/>
  <c r="K28" i="70" l="1"/>
  <c r="H27" i="66" l="1"/>
  <c r="E44" i="64"/>
  <c r="H27" i="63"/>
  <c r="H24" i="62"/>
  <c r="H24" i="61" l="1"/>
  <c r="H24" i="60"/>
  <c r="D41" i="59" l="1"/>
  <c r="H24" i="58"/>
  <c r="H24" i="57"/>
  <c r="H24" i="56"/>
  <c r="F26" i="54" l="1"/>
  <c r="H27" i="54" s="1"/>
  <c r="E43" i="55"/>
  <c r="G16" i="49" l="1"/>
  <c r="G19" i="47" l="1"/>
  <c r="G17" i="48"/>
  <c r="E18" i="48" s="1"/>
  <c r="F17" i="48"/>
  <c r="E17" i="48"/>
  <c r="G17" i="46"/>
  <c r="G17" i="44"/>
  <c r="G17" i="43"/>
  <c r="G16" i="38" l="1"/>
  <c r="F20" i="37"/>
  <c r="F16" i="37"/>
  <c r="G21" i="37" s="1"/>
  <c r="N16" i="36"/>
  <c r="M29" i="36"/>
  <c r="L29" i="36"/>
  <c r="K29" i="36"/>
  <c r="I29" i="36"/>
  <c r="H29" i="36"/>
  <c r="G29" i="36"/>
  <c r="E29" i="36"/>
  <c r="F19" i="36"/>
  <c r="J19" i="36" s="1"/>
  <c r="N19" i="36" s="1"/>
  <c r="F18" i="36"/>
  <c r="J18" i="36" s="1"/>
  <c r="N18" i="36" s="1"/>
  <c r="F17" i="36"/>
  <c r="F29" i="36" s="1"/>
  <c r="F16" i="36"/>
  <c r="J16" i="36" s="1"/>
  <c r="F15" i="36"/>
  <c r="J15" i="36" s="1"/>
  <c r="N15" i="36" s="1"/>
  <c r="F14" i="36"/>
  <c r="J14" i="36" s="1"/>
  <c r="G22" i="35"/>
  <c r="N14" i="36" l="1"/>
  <c r="N29" i="36" s="1"/>
  <c r="J17" i="36"/>
  <c r="N17" i="36" s="1"/>
  <c r="J29" i="36" l="1"/>
  <c r="G16" i="33" l="1"/>
  <c r="D14" i="32" l="1"/>
  <c r="G18" i="31"/>
  <c r="M28" i="14" l="1"/>
  <c r="L28" i="14"/>
  <c r="K28" i="14"/>
  <c r="I28" i="14"/>
  <c r="H28" i="14"/>
  <c r="G28" i="14"/>
  <c r="E28" i="14"/>
  <c r="F18" i="14"/>
  <c r="J18" i="14" s="1"/>
  <c r="N18" i="14" s="1"/>
  <c r="F17" i="14"/>
  <c r="J17" i="14" s="1"/>
  <c r="N17" i="14" s="1"/>
  <c r="F16" i="14"/>
  <c r="J16" i="14" s="1"/>
  <c r="N16" i="14" s="1"/>
  <c r="F15" i="14"/>
  <c r="F28" i="14" s="1"/>
  <c r="F14" i="14"/>
  <c r="J14" i="14" s="1"/>
  <c r="N14" i="14" s="1"/>
  <c r="F13" i="14"/>
  <c r="J13" i="14" s="1"/>
  <c r="J28" i="14" l="1"/>
  <c r="N13" i="14"/>
  <c r="J15" i="14"/>
  <c r="N15" i="14" s="1"/>
  <c r="N28" i="14" l="1"/>
</calcChain>
</file>

<file path=xl/sharedStrings.xml><?xml version="1.0" encoding="utf-8"?>
<sst xmlns="http://schemas.openxmlformats.org/spreadsheetml/2006/main" count="2596" uniqueCount="607">
  <si>
    <t>GIRL SCOUTS OF THE PHILIPPINES</t>
  </si>
  <si>
    <t>Ilocos Sur Girl Scout Council</t>
  </si>
  <si>
    <t>Vigan City</t>
  </si>
  <si>
    <t xml:space="preserve"> No.</t>
  </si>
  <si>
    <t xml:space="preserve">PAY TO:  </t>
  </si>
  <si>
    <t>RONAMY ROSARIO-ABLOG</t>
  </si>
  <si>
    <t>DATE:</t>
  </si>
  <si>
    <t>DESCRIPTIONS / EXPLANATION</t>
  </si>
  <si>
    <t>Account No.</t>
  </si>
  <si>
    <t>Dr.</t>
  </si>
  <si>
    <t>Cr.</t>
  </si>
  <si>
    <t>MB #01-017000197-9</t>
  </si>
  <si>
    <t>PREPARED BY:</t>
  </si>
  <si>
    <t>CERTIFIED CORRECT:</t>
  </si>
  <si>
    <t>VERIFIED CORRECT:</t>
  </si>
  <si>
    <t>ANA MARIE THERESE R. DEL CASTILLO</t>
  </si>
  <si>
    <t>ROSITA P. RIALUBIN, MD</t>
  </si>
  <si>
    <t>Accounting Clerk</t>
  </si>
  <si>
    <t>Council Executive</t>
  </si>
  <si>
    <t>Council Auditor</t>
  </si>
  <si>
    <t>APPROVED BY:</t>
  </si>
  <si>
    <t>MARIANNE R. FLORENDO</t>
  </si>
  <si>
    <t>EVA MARIE S. MEDINA</t>
  </si>
  <si>
    <t>Council Treasurer</t>
  </si>
  <si>
    <t>Council President</t>
  </si>
  <si>
    <t xml:space="preserve">                               </t>
  </si>
  <si>
    <t>Payee/Authorized Representative</t>
  </si>
  <si>
    <t>Date</t>
  </si>
  <si>
    <t>Particulars</t>
  </si>
  <si>
    <t>Charged To</t>
  </si>
  <si>
    <t xml:space="preserve">OR NO. </t>
  </si>
  <si>
    <t>Subtotal</t>
  </si>
  <si>
    <t>TOTAL</t>
  </si>
  <si>
    <t>Prepared by:</t>
  </si>
  <si>
    <t>Checked by:</t>
  </si>
  <si>
    <t>Noted by:</t>
  </si>
  <si>
    <t>DBP #00-500128590-5</t>
  </si>
  <si>
    <t>Gasoline and Oil</t>
  </si>
  <si>
    <t xml:space="preserve"> </t>
  </si>
  <si>
    <t>ILOCOS SUR ELECTRIC COOPERATIVE, INC.</t>
  </si>
  <si>
    <t>Eletric Bill</t>
  </si>
  <si>
    <t>DBP #0-50141-590-7</t>
  </si>
  <si>
    <t>Girl Scouts of the Philippines</t>
  </si>
  <si>
    <t>Ilocos Sur Council</t>
  </si>
  <si>
    <t>Electricty Expense Breakdown</t>
  </si>
  <si>
    <t>Office Location</t>
  </si>
  <si>
    <t>INVOICE NO.</t>
  </si>
  <si>
    <t>Amount</t>
  </si>
  <si>
    <t>GSP  Building 1st Floor</t>
  </si>
  <si>
    <t>GSP Building 2nd Floor</t>
  </si>
  <si>
    <t>GSP Campsite</t>
  </si>
  <si>
    <t>Payment for Electric Bill for the Month of December 2025</t>
  </si>
  <si>
    <t>ILOCOS SUR COUNCIL</t>
  </si>
  <si>
    <t>PAYROLL</t>
  </si>
  <si>
    <r>
      <t xml:space="preserve">We acknowledge to have received from the Girl Scouts of the Philippines, </t>
    </r>
    <r>
      <rPr>
        <u/>
        <sz val="10"/>
        <rFont val="Arial"/>
        <family val="2"/>
      </rPr>
      <t>ILOCOS SUR COUNCIL</t>
    </r>
    <r>
      <rPr>
        <sz val="10"/>
        <rFont val="Arial"/>
        <family val="2"/>
      </rPr>
      <t xml:space="preserve"> the sum </t>
    </r>
  </si>
  <si>
    <t>herein specified opposite our respective names, in full compensation for our services for the period stated.</t>
  </si>
  <si>
    <t>DEDUCTIONS</t>
  </si>
  <si>
    <t>MONTHLY</t>
  </si>
  <si>
    <t>SEMI-</t>
  </si>
  <si>
    <t xml:space="preserve">MONTHLY </t>
  </si>
  <si>
    <t>TOTAL EARNED</t>
  </si>
  <si>
    <t>SSS PREMIUM/</t>
  </si>
  <si>
    <t>PAG-IBIG</t>
  </si>
  <si>
    <t>PHILHEALTH</t>
  </si>
  <si>
    <t>NET AMOUNT</t>
  </si>
  <si>
    <t>SIGNATURE</t>
  </si>
  <si>
    <t>NAME</t>
  </si>
  <si>
    <t>DESIGNATION</t>
  </si>
  <si>
    <t>STATUS</t>
  </si>
  <si>
    <t>SALARY</t>
  </si>
  <si>
    <t>COLA</t>
  </si>
  <si>
    <t>REPRESENTATION</t>
  </si>
  <si>
    <t>FOR THE PERIOD</t>
  </si>
  <si>
    <t>MEDICARE/EC</t>
  </si>
  <si>
    <t>RECEIVED</t>
  </si>
  <si>
    <t>&amp; MATERNITY</t>
  </si>
  <si>
    <t>EDGAR B. ARQUELADA</t>
  </si>
  <si>
    <t>Utility/Driver</t>
  </si>
  <si>
    <t>ROSELYN R. CUBANGBANG</t>
  </si>
  <si>
    <t>Cashier/NES Incharge</t>
  </si>
  <si>
    <t>Permanent</t>
  </si>
  <si>
    <t>Accounting Cleck/TA for Admin</t>
  </si>
  <si>
    <t>CORNELIO G. RAMOS</t>
  </si>
  <si>
    <t>Camp Caretaker/Driver</t>
  </si>
  <si>
    <t>JOHN AARON R. RAPANUT</t>
  </si>
  <si>
    <t>TA for Program</t>
  </si>
  <si>
    <t>OIC- Council Executive</t>
  </si>
  <si>
    <t>**************** NOTHING FOLLOWS************</t>
  </si>
  <si>
    <t>APPROVED:</t>
  </si>
  <si>
    <t>I hereby certify on my official capacity that I</t>
  </si>
  <si>
    <t xml:space="preserve">have paid each employee whose name </t>
  </si>
  <si>
    <t xml:space="preserve">appears on the above roll the amount set </t>
  </si>
  <si>
    <t>opposite their names.</t>
  </si>
  <si>
    <t>ANA MARIE THERESE R. DEL CASTIILO</t>
  </si>
  <si>
    <t xml:space="preserve">      RONAMY ROSARIO-ABLOG</t>
  </si>
  <si>
    <t>Accounting Clerk/TA for Admin</t>
  </si>
  <si>
    <t>OIC - Council Executive</t>
  </si>
  <si>
    <t>MONTLY</t>
  </si>
  <si>
    <t>For the Period of JANUARY 1-15, 2026</t>
  </si>
  <si>
    <t>RONAMY ROSARIO - ABLOG</t>
  </si>
  <si>
    <t>Salaries and Wages</t>
  </si>
  <si>
    <t>Cost of Living Allowance</t>
  </si>
  <si>
    <t>Representation of CE</t>
  </si>
  <si>
    <t>Representation</t>
  </si>
  <si>
    <t>January 26, 2026</t>
  </si>
  <si>
    <t>dated January 26, 2026 in payment of this voucher.</t>
  </si>
  <si>
    <t>For the Month of January, 2026</t>
  </si>
  <si>
    <t>Invoice No. 510000000360713, 510000000360902 and 510000000347988</t>
  </si>
  <si>
    <t>Received from the GIRL SCOUTS OF THE PHILIPPINES the amount of SEVEN THOUSAND NINETY NINE</t>
  </si>
  <si>
    <t xml:space="preserve"> NINE PESOS &amp; 65/100 ONLY (P7,099.65) per Check No.</t>
  </si>
  <si>
    <t>0093861783</t>
  </si>
  <si>
    <t>PLDT</t>
  </si>
  <si>
    <t>Telephone and Communications</t>
  </si>
  <si>
    <t>Payment for the Internet and Telephone Bills for the Month of December 2025 and January 2026</t>
  </si>
  <si>
    <t>Received from the GIRL SCOUTS OF THE PHILIPPINES the amount of THREE THOUSAND THIRTY THREE</t>
  </si>
  <si>
    <r>
      <t>PESOS &amp; 94/100 ONLY (P3,033.94) per Check No.</t>
    </r>
    <r>
      <rPr>
        <b/>
        <sz val="9"/>
        <rFont val="Arial"/>
        <family val="2"/>
      </rPr>
      <t xml:space="preserve"> ___________</t>
    </r>
    <r>
      <rPr>
        <sz val="9"/>
        <rFont val="Arial"/>
        <family val="2"/>
      </rPr>
      <t>____</t>
    </r>
  </si>
  <si>
    <t>SSS Premium Payable</t>
  </si>
  <si>
    <t>Pag-IBIG Premium Payable</t>
  </si>
  <si>
    <t>PhilHealth Premium Payable</t>
  </si>
  <si>
    <t>Received from the GIRL SCOUTS OF THE PHILIPPINES the amount of SIXTY TWO THOUSAND NINE HUNDRED NINE</t>
  </si>
  <si>
    <t>PESOS &amp; 79/100 ONLY (P62,909.29) per Check No.</t>
  </si>
  <si>
    <t>January 28, 2026</t>
  </si>
  <si>
    <t>Payment of Salaries  for the Six (6) GSP Ilocos Sur Personnel  for the Period of January 16-31, 2026</t>
  </si>
  <si>
    <t>dated January 28, 2026 in payment of this voucher.</t>
  </si>
  <si>
    <t>For the Period of JANUARY 16-31, 2026</t>
  </si>
  <si>
    <t>SSS Premium Expense</t>
  </si>
  <si>
    <t>Pag-IBIG Premium Expense</t>
  </si>
  <si>
    <t>PhilHealth Premium Expense</t>
  </si>
  <si>
    <t>Received from the GIRL SCOUTS OF THE PHILIPPINES the amount of TWENTY TWO THOUSAND FOUR HUNDRED THIRTY</t>
  </si>
  <si>
    <t xml:space="preserve"> THREE PESOS &amp; 40/100 ONLY (P22,433.40) per Check No.</t>
  </si>
  <si>
    <t>Payment of Premiums for GSP Ilocos Sur Personnel for the Month of January, 2026</t>
  </si>
  <si>
    <t>January 28, 2025</t>
  </si>
  <si>
    <t>February 3, 2026</t>
  </si>
  <si>
    <t>Equipment - CCTV Camera (P3,041.00 x 16)</t>
  </si>
  <si>
    <t>Received from the GIRL SCOUTS OF THE PHILIPPINES the amount of FORTY EIGHT THOUSAND SIX HUNDRED FIFTY</t>
  </si>
  <si>
    <r>
      <t xml:space="preserve"> SIX PESOS &amp; 00/100 ONLY (P48,656.00) per Check No.</t>
    </r>
    <r>
      <rPr>
        <b/>
        <sz val="9"/>
        <rFont val="Arial"/>
        <family val="2"/>
      </rPr>
      <t xml:space="preserve"> ___________</t>
    </r>
    <r>
      <rPr>
        <sz val="9"/>
        <rFont val="Arial"/>
        <family val="2"/>
      </rPr>
      <t>____</t>
    </r>
  </si>
  <si>
    <t>dated February 3, 2026 in payment of this voucher.</t>
  </si>
  <si>
    <t>Purchase of the New 16 CCTV Cameras with SD Card to be installed in the GSP Headquarters</t>
  </si>
  <si>
    <t>Equipment - Mirrorless Camera</t>
  </si>
  <si>
    <t>Received from the GIRL SCOUTS OF THE PHILIPPINES the amount of FIFTY FIVE THOUSAND</t>
  </si>
  <si>
    <r>
      <t>PESOS &amp; 00/100 ONLY (P55,000.00) per Check No.</t>
    </r>
    <r>
      <rPr>
        <b/>
        <sz val="9"/>
        <rFont val="Arial"/>
        <family val="2"/>
      </rPr>
      <t xml:space="preserve"> ___________</t>
    </r>
    <r>
      <rPr>
        <sz val="9"/>
        <rFont val="Arial"/>
        <family val="2"/>
      </rPr>
      <t>____</t>
    </r>
  </si>
  <si>
    <t>CERITIFIED CORRECT:</t>
  </si>
  <si>
    <t>01/30/2026</t>
  </si>
  <si>
    <t>(Invoice No. (1256518, 3791 and 280546) dated January 30, 2026</t>
  </si>
  <si>
    <t>Received from the GIRL SCOUTS OF THE PHILIPPINES the amount of TWELVE THOUSAND</t>
  </si>
  <si>
    <r>
      <t>PESOS &amp; 00/100 ONLY (P12,000.00) per Check No.</t>
    </r>
    <r>
      <rPr>
        <b/>
        <sz val="9"/>
        <rFont val="Arial"/>
        <family val="2"/>
      </rPr>
      <t xml:space="preserve"> ___________</t>
    </r>
    <r>
      <rPr>
        <sz val="9"/>
        <rFont val="Arial"/>
        <family val="2"/>
      </rPr>
      <t>____</t>
    </r>
  </si>
  <si>
    <t>Kitchen Utensils</t>
  </si>
  <si>
    <t>Purchase of New Plates, Spoons, Forks and Drinking Glass for Council Use</t>
  </si>
  <si>
    <t>Purchase of the New Mirrorless Camera (SONY A6400) for Council Use (Invoice No. 3852)</t>
  </si>
  <si>
    <t>(Invoice No. 3852) dated January 29, 2026</t>
  </si>
  <si>
    <t>Furniture and Fixtures - Chairs (P385.00 x 100)</t>
  </si>
  <si>
    <t>Furniture and Fixtures - Freight (P20.00 x 100)</t>
  </si>
  <si>
    <t>Received from the GIRL SCOUTS OF THE PHILIPPINES the amount of FORTY THOUSAND FIVE HUNDRED</t>
  </si>
  <si>
    <r>
      <t>PESOS &amp; 00/100 ONLY (P40,500.00) per Check No.</t>
    </r>
    <r>
      <rPr>
        <b/>
        <sz val="9"/>
        <rFont val="Arial"/>
        <family val="2"/>
      </rPr>
      <t xml:space="preserve"> ___________</t>
    </r>
    <r>
      <rPr>
        <sz val="9"/>
        <rFont val="Arial"/>
        <family val="2"/>
      </rPr>
      <t>____</t>
    </r>
  </si>
  <si>
    <t>Purchase of 100 pcs. Monobloc Chair including Delivery Fee for Council Use</t>
  </si>
  <si>
    <t>Transportation and Travel</t>
  </si>
  <si>
    <t>01/29/2026</t>
  </si>
  <si>
    <t>Gasoline</t>
  </si>
  <si>
    <t>2439214</t>
  </si>
  <si>
    <t>Parking Fee</t>
  </si>
  <si>
    <t>425665</t>
  </si>
  <si>
    <t>12399001</t>
  </si>
  <si>
    <t>Meals for Dinner</t>
  </si>
  <si>
    <t>172875</t>
  </si>
  <si>
    <t>7000176793</t>
  </si>
  <si>
    <t>Snacks</t>
  </si>
  <si>
    <t>00-159580</t>
  </si>
  <si>
    <t>0581</t>
  </si>
  <si>
    <t>Meals for Lunch</t>
  </si>
  <si>
    <t>Summary of Expenses Incurred in the Purchase of Camera, Kitchen Utensils and Chairs</t>
  </si>
  <si>
    <t xml:space="preserve"> last January 29-30, 2026 at Metro Manila</t>
  </si>
  <si>
    <t>Payment of Expenses Incurred in the Purchase of Camera, Kitchen Utensils and Chairs</t>
  </si>
  <si>
    <t>Received from the GIRL SCOUTS OF THE PHILIPPINES the amount of FOUR THOUSAND ONE HUNDRED THIRTY FIVE</t>
  </si>
  <si>
    <r>
      <t>PESOS &amp; 29/100 ONLY (4,135.29) per Check No.</t>
    </r>
    <r>
      <rPr>
        <b/>
        <sz val="9"/>
        <rFont val="Arial"/>
        <family val="2"/>
      </rPr>
      <t xml:space="preserve"> ___________</t>
    </r>
    <r>
      <rPr>
        <sz val="9"/>
        <rFont val="Arial"/>
        <family val="2"/>
      </rPr>
      <t>____</t>
    </r>
  </si>
  <si>
    <t>February 4, 2026</t>
  </si>
  <si>
    <t>dated February 4, 2026 in payment of this voucher.</t>
  </si>
  <si>
    <t>Purchase of 1 Filing Cabinet with Vault for Council Use (Invoice No. 63208 dated February 3, 2026)</t>
  </si>
  <si>
    <t>Furniture and Fixtures - Filing Cabinet</t>
  </si>
  <si>
    <t>Received from the GIRL SCOUTS OF THE PHILIPPINES the amount of ELEVEN THOUSAND FIVE HUNDRED</t>
  </si>
  <si>
    <r>
      <t>PESOS &amp; 00/100 ONLY (P11,500.00) per Check No.</t>
    </r>
    <r>
      <rPr>
        <b/>
        <sz val="9"/>
        <rFont val="Arial"/>
        <family val="2"/>
      </rPr>
      <t xml:space="preserve"> ___________</t>
    </r>
    <r>
      <rPr>
        <sz val="9"/>
        <rFont val="Arial"/>
        <family val="2"/>
      </rPr>
      <t>____</t>
    </r>
  </si>
  <si>
    <t xml:space="preserve"> DISBURSEMENT VOUCHER</t>
  </si>
  <si>
    <t>DV No.</t>
  </si>
  <si>
    <t>2026 - 02 - 203653</t>
  </si>
  <si>
    <t>Mode of Payment</t>
  </si>
  <si>
    <t>Cash</t>
  </si>
  <si>
    <t>Check</t>
  </si>
  <si>
    <t>Date :</t>
  </si>
  <si>
    <t>Payee</t>
  </si>
  <si>
    <t>Address</t>
  </si>
  <si>
    <t>PARTICULARS</t>
  </si>
  <si>
    <t>AMOUNT</t>
  </si>
  <si>
    <t>Account</t>
  </si>
  <si>
    <t>Debit</t>
  </si>
  <si>
    <t>Credit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</si>
  <si>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 </t>
    </r>
    <r>
      <rPr>
        <b/>
        <sz val="10"/>
        <rFont val="Arial"/>
        <family val="2"/>
      </rPr>
      <t>ELEVEN THOUSAND FIVE</t>
    </r>
  </si>
  <si>
    <t>Check No.</t>
  </si>
  <si>
    <t>`</t>
  </si>
  <si>
    <t>ALEX CHAN BAZAR</t>
  </si>
  <si>
    <t>Purchase of 1 Filing Cabinet with Vault for</t>
  </si>
  <si>
    <t xml:space="preserve"> Council Use</t>
  </si>
  <si>
    <t xml:space="preserve">  ( Invoice No. 63208 dated February 3, 2026)</t>
  </si>
  <si>
    <t>Ilocos Sur</t>
  </si>
  <si>
    <t>Barangay I, Vigan City</t>
  </si>
  <si>
    <t>RECOMMENDING APPROVAL:</t>
  </si>
  <si>
    <t>HUNDRED PESOS &amp; 00/100 ONLY (P11,500.00)</t>
  </si>
  <si>
    <t>EAGLE VISION, INC.</t>
  </si>
  <si>
    <t>Zone 1, Bantay</t>
  </si>
  <si>
    <t>Payment of Internet and Cable for the</t>
  </si>
  <si>
    <t xml:space="preserve">   Month of February, 2026</t>
  </si>
  <si>
    <t>2026 - 02 - 203654</t>
  </si>
  <si>
    <t>Internet and Cable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</si>
  <si>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8"/>
        <rFont val="Arial"/>
        <family val="2"/>
      </rPr>
      <t>ONE THOUSAND EIGHT</t>
    </r>
  </si>
  <si>
    <t>0093861784</t>
  </si>
  <si>
    <t>EIGHT HUNDRED TWELVE PESOS &amp; 00/100 ONLY (P1,812.00)</t>
  </si>
  <si>
    <t>2026 - 02 - 203655</t>
  </si>
  <si>
    <t>ROSELYN CUBANGBANG</t>
  </si>
  <si>
    <t>GSP Headquarters</t>
  </si>
  <si>
    <t>Vigan City, Ilocos Sur</t>
  </si>
  <si>
    <t>Payment of Gasoline and Oil</t>
  </si>
  <si>
    <t xml:space="preserve">   Invoice No. 263154 dated February 3, 2026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</si>
  <si>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10"/>
        <rFont val="Arial"/>
        <family val="2"/>
      </rPr>
      <t>ONE THOUSAND</t>
    </r>
  </si>
  <si>
    <t xml:space="preserve"> PESOS &amp; 00/100 ONLY (P1,000.00)</t>
  </si>
  <si>
    <t>2026 - 02 - 203656</t>
  </si>
  <si>
    <t>PETTY CASH FUND EXPENSES</t>
  </si>
  <si>
    <t>DATE</t>
  </si>
  <si>
    <t xml:space="preserve">PCV NO. </t>
  </si>
  <si>
    <t>Office Supplies</t>
  </si>
  <si>
    <t>00212608</t>
  </si>
  <si>
    <t>1 8gb Flashdrive</t>
  </si>
  <si>
    <t>3703</t>
  </si>
  <si>
    <t>00212609</t>
  </si>
  <si>
    <t>1 Ream Long Bondpaper</t>
  </si>
  <si>
    <t>19586</t>
  </si>
  <si>
    <t>00212610</t>
  </si>
  <si>
    <t>3 pcs. Masking Tape</t>
  </si>
  <si>
    <t>1001/04694964</t>
  </si>
  <si>
    <t>00212611</t>
  </si>
  <si>
    <t>Plastic Bags</t>
  </si>
  <si>
    <t>12551</t>
  </si>
  <si>
    <t>00212612</t>
  </si>
  <si>
    <t>2 Bundle of White Envelope</t>
  </si>
  <si>
    <t>19638</t>
  </si>
  <si>
    <t>00212613</t>
  </si>
  <si>
    <t>Zonrox and Muriatic Acid</t>
  </si>
  <si>
    <t>409934</t>
  </si>
  <si>
    <t>00212614</t>
  </si>
  <si>
    <t>Solvent</t>
  </si>
  <si>
    <t>14210</t>
  </si>
  <si>
    <t>00212615</t>
  </si>
  <si>
    <t>Domex, Diswashing Liquid &amp; Tissue</t>
  </si>
  <si>
    <t>433887</t>
  </si>
  <si>
    <t>00212616</t>
  </si>
  <si>
    <t>1 Gallon Ethyl Alcohol</t>
  </si>
  <si>
    <t>8664</t>
  </si>
  <si>
    <t>00212617</t>
  </si>
  <si>
    <t>Folders</t>
  </si>
  <si>
    <t>63234</t>
  </si>
  <si>
    <t>00212618</t>
  </si>
  <si>
    <t>Boxes, Scotch Tape, Pens &amp; etc.</t>
  </si>
  <si>
    <t>206202600760002020753</t>
  </si>
  <si>
    <t>CHECKED BY:</t>
  </si>
  <si>
    <t>NOTED BY:</t>
  </si>
  <si>
    <t>Replenishment of the Petty Cash Fund</t>
  </si>
  <si>
    <t xml:space="preserve">   PCV #212609-212610 dated January 20, 2026</t>
  </si>
  <si>
    <t xml:space="preserve">   PCV #212608 dated January 15, 2026</t>
  </si>
  <si>
    <t xml:space="preserve">   PCV #212611 dated January 28, 2026</t>
  </si>
  <si>
    <t xml:space="preserve">   PCV #212612 dated February 3, 2026</t>
  </si>
  <si>
    <t xml:space="preserve">   PCV #212613-212614 dated February 4, 2026</t>
  </si>
  <si>
    <t xml:space="preserve">   PCV #212615-212617 dated February 5, 2026</t>
  </si>
  <si>
    <t xml:space="preserve">   PCV #212618 dated February 6, 2026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</si>
  <si>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10"/>
        <rFont val="Arial"/>
        <family val="2"/>
      </rPr>
      <t>THREE THOUSAND SIX</t>
    </r>
  </si>
  <si>
    <t>HUNDRED EIGHTY EIGHT &amp; 00/100 ONLY (P3,688.00)</t>
  </si>
  <si>
    <t>2026 - 02 - 203657</t>
  </si>
  <si>
    <t>Bantay,</t>
  </si>
  <si>
    <t>Payment of Internet and Telephone Bill for the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</si>
  <si>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8"/>
        <rFont val="Arial"/>
        <family val="2"/>
      </rPr>
      <t>ONE THOUSAND FIVE HUNDRED</t>
    </r>
  </si>
  <si>
    <t>SIXTEEN PESOS &amp; 97/100 ONLY (P1,516.97)</t>
  </si>
  <si>
    <t>MARICEL S. BALLETE</t>
  </si>
  <si>
    <t>Cabugao,</t>
  </si>
  <si>
    <t>2026 - 02 - 203658</t>
  </si>
  <si>
    <t>Payment for the 1 Night Accommodation of the</t>
  </si>
  <si>
    <t xml:space="preserve">  4 GSP Ilocos Sur Trainees during the Regional</t>
  </si>
  <si>
    <t xml:space="preserve">  Training School at Ating Tahanan, </t>
  </si>
  <si>
    <t xml:space="preserve">  Baguio, City last January 28-29, 2026</t>
  </si>
  <si>
    <t>Trainings - Accommodation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</si>
  <si>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8"/>
        <rFont val="Arial"/>
        <family val="2"/>
      </rPr>
      <t>ONE THOUSAND FOUR HUNDRED</t>
    </r>
  </si>
  <si>
    <t>FORTY PESOS &amp; 00/100 ONLY (P1,440.00)</t>
  </si>
  <si>
    <t>2026 - 02 - 203659</t>
  </si>
  <si>
    <t>Conferences and Meetings - Meals and Snacks</t>
  </si>
  <si>
    <t>1 XL Pancit Cabagan and</t>
  </si>
  <si>
    <t xml:space="preserve"> 42 pcs Shanghai</t>
  </si>
  <si>
    <t>11454</t>
  </si>
  <si>
    <t>1 1.5L Coke</t>
  </si>
  <si>
    <t>31300000000277371</t>
  </si>
  <si>
    <t>3 1.5L Coke</t>
  </si>
  <si>
    <t>31300000000277357</t>
  </si>
  <si>
    <t>Payment for the Snacks during the World</t>
  </si>
  <si>
    <t xml:space="preserve">   Thinking Day Pre-Planning and 44th</t>
  </si>
  <si>
    <t xml:space="preserve">    National Camp Council Orientation at the</t>
  </si>
  <si>
    <t xml:space="preserve">    GSP Headquarters last February 7, 2026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</si>
  <si>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8"/>
        <rFont val="Arial"/>
        <family val="2"/>
      </rPr>
      <t>TWO THOUSAND FOUR HUNDRED</t>
    </r>
  </si>
  <si>
    <t>EIGHTEEN PESOS &amp; 00/100 ONLY (P2,418.00)</t>
  </si>
  <si>
    <t xml:space="preserve">SUMMARY OF EXPENSES </t>
  </si>
  <si>
    <t>JACS ENTERPRISES</t>
  </si>
  <si>
    <t xml:space="preserve">   TYPE ABC Dry Chemical (Refill)</t>
  </si>
  <si>
    <t xml:space="preserve">    Capacity: 10lbs to be used at the </t>
  </si>
  <si>
    <t xml:space="preserve">    GSP Headquarters</t>
  </si>
  <si>
    <t>Office Supplies - Fire Extinguisher Refill</t>
  </si>
  <si>
    <t>2026 - 02 - 203660</t>
  </si>
  <si>
    <t>PESOS &amp; 00/100 ONLY (P2,400.00)</t>
  </si>
  <si>
    <t>2026 - 02 - 203661</t>
  </si>
  <si>
    <t>Cash Advance for the Executive Committee</t>
  </si>
  <si>
    <t xml:space="preserve">   Meeting on February 12, 2026 at the</t>
  </si>
  <si>
    <t xml:space="preserve">    GSP Ilocos Sur Headquarters</t>
  </si>
  <si>
    <t>Cash Advance</t>
  </si>
  <si>
    <t>REQUESTED BY: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</si>
  <si>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8"/>
        <rFont val="Arial"/>
        <family val="2"/>
      </rPr>
      <t>SEVEN THOUSAND</t>
    </r>
  </si>
  <si>
    <t>PESOS &amp; 00/100 ONLY (P7,000.00)</t>
  </si>
  <si>
    <t>Payment for the Three (3) Fire Extinguisher</t>
  </si>
  <si>
    <t>(P800.00 x 3)</t>
  </si>
  <si>
    <t xml:space="preserve">   Invoice No. 263218 dated February 11, 2026</t>
  </si>
  <si>
    <t>2026 - 02 - 203662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</si>
  <si>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8"/>
        <rFont val="Arial"/>
        <family val="2"/>
      </rPr>
      <t>TWO THOUSAND</t>
    </r>
  </si>
  <si>
    <t>PESOS &amp; 00/100 ONLY (P2,000.00)</t>
  </si>
  <si>
    <t>1 Ream Long &amp; 1 Ream A4 Bondpaper</t>
  </si>
  <si>
    <t>63303</t>
  </si>
  <si>
    <t>9 pcs. Face Decorative Mask</t>
  </si>
  <si>
    <t>00212619</t>
  </si>
  <si>
    <t>00212620</t>
  </si>
  <si>
    <t>00212621</t>
  </si>
  <si>
    <t>00212622</t>
  </si>
  <si>
    <t>00212623</t>
  </si>
  <si>
    <t>477134</t>
  </si>
  <si>
    <t>"RECEIVED" Stamp and Trashbag</t>
  </si>
  <si>
    <t>477133</t>
  </si>
  <si>
    <t>Diswashing Liquid and Sponge</t>
  </si>
  <si>
    <t>557070</t>
  </si>
  <si>
    <t>1 Ream A3 Bondpaper</t>
  </si>
  <si>
    <t>63320</t>
  </si>
  <si>
    <t xml:space="preserve">   PCV #212619 dated February 9, 2026</t>
  </si>
  <si>
    <t xml:space="preserve">   PCV #212620-212623 dated February 10, 2026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</si>
  <si>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10"/>
        <rFont val="Arial"/>
        <family val="2"/>
      </rPr>
      <t>TWO THOUSAND ONE</t>
    </r>
  </si>
  <si>
    <t>HUNDRED THIRTEEN &amp; 30/100 ONLY (P2,113.30)</t>
  </si>
  <si>
    <t>2026 - 02 - 203663</t>
  </si>
  <si>
    <t>2026 - 02 - 203664</t>
  </si>
  <si>
    <t>Payment of Expenses incurred in the</t>
  </si>
  <si>
    <t xml:space="preserve">   preparation of the Souvenir Book</t>
  </si>
  <si>
    <t xml:space="preserve">   (Invoice No. 3733 dated February 11, 2026)</t>
  </si>
  <si>
    <t>Souvenir Book - Meals</t>
  </si>
  <si>
    <t>PNB #223510036978</t>
  </si>
  <si>
    <t>FIVE &amp; 00/100 ONLY (P285.00)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</si>
  <si>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10"/>
        <rFont val="Arial"/>
        <family val="2"/>
      </rPr>
      <t>TWO HUNDRED EIGHTY</t>
    </r>
  </si>
  <si>
    <t>CLOTHING</t>
  </si>
  <si>
    <t>ALLOWANCE</t>
  </si>
  <si>
    <t>For the Period of FEBRUARY 1-15, 2026</t>
  </si>
  <si>
    <t>Clothing Allowance</t>
  </si>
  <si>
    <t xml:space="preserve">Payment of Salaries for the Six (6) GSP Ilocos </t>
  </si>
  <si>
    <t xml:space="preserve">   2026 and Release of the Clothing Allowance</t>
  </si>
  <si>
    <t>2026 - 02 - 203665</t>
  </si>
  <si>
    <t>FOUR HUNDRED FIFTY THREE &amp; 50/100 ONLY (P113,453.50)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</si>
  <si>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8"/>
        <rFont val="Arial"/>
        <family val="2"/>
      </rPr>
      <t>ONE HUNDRED THIRTEEN THOUSAND</t>
    </r>
  </si>
  <si>
    <t xml:space="preserve">   Sur Personnel for the Period of January 1-15,</t>
  </si>
  <si>
    <t xml:space="preserve">   One (1) Cyan @ 10,500.00</t>
  </si>
  <si>
    <t xml:space="preserve">   One (1) Magenta @ 10,500.00</t>
  </si>
  <si>
    <t xml:space="preserve">   One (1) Yellow @ 10,500.00</t>
  </si>
  <si>
    <t>Purchase of Epson WorkForce Pro Ink</t>
  </si>
  <si>
    <t xml:space="preserve">Office Supplies </t>
  </si>
  <si>
    <t>ESGP I.T. SOLUTIONS</t>
  </si>
  <si>
    <t>Vigan City,</t>
  </si>
  <si>
    <t>2026 - 02 - 203666</t>
  </si>
  <si>
    <t xml:space="preserve">   One (1) BLACK @ 6,500.00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</si>
  <si>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8"/>
        <rFont val="Arial"/>
        <family val="2"/>
      </rPr>
      <t>THIRTY EIGHT</t>
    </r>
    <r>
      <rPr>
        <sz val="10"/>
        <rFont val="Arial"/>
        <family val="2"/>
      </rPr>
      <t xml:space="preserve"> </t>
    </r>
    <r>
      <rPr>
        <b/>
        <sz val="8"/>
        <rFont val="Arial"/>
        <family val="2"/>
      </rPr>
      <t>THOUSAND</t>
    </r>
  </si>
  <si>
    <t xml:space="preserve"> &amp; 00/100 ONLY (P38,000.00)</t>
  </si>
  <si>
    <r>
      <t xml:space="preserve">Check </t>
    </r>
    <r>
      <rPr>
        <b/>
        <u/>
        <sz val="11"/>
        <color theme="1"/>
        <rFont val="Arial"/>
        <family val="2"/>
      </rPr>
      <t>93861785</t>
    </r>
  </si>
  <si>
    <t>GSP NHQ, Ermita</t>
  </si>
  <si>
    <t>Manila</t>
  </si>
  <si>
    <t>2026 - 02 - 203667</t>
  </si>
  <si>
    <t>Inventory - NES</t>
  </si>
  <si>
    <t>PESOS &amp; 00/100 ONLY (P12,000.00)</t>
  </si>
  <si>
    <t>SUMMARY OF EXPENSES</t>
  </si>
  <si>
    <t>Toll Fee</t>
  </si>
  <si>
    <t>123220796336</t>
  </si>
  <si>
    <t>Coffee and Bottled Water</t>
  </si>
  <si>
    <t>182397</t>
  </si>
  <si>
    <t>1413094</t>
  </si>
  <si>
    <t>104170932863</t>
  </si>
  <si>
    <t>292060384846</t>
  </si>
  <si>
    <t>Toll Fee (Tarlac)</t>
  </si>
  <si>
    <t>Toll Fee (Balintawak)</t>
  </si>
  <si>
    <t>74465312</t>
  </si>
  <si>
    <t>1413268</t>
  </si>
  <si>
    <t>Coffee</t>
  </si>
  <si>
    <t>374720</t>
  </si>
  <si>
    <t>Meals and Snacks</t>
  </si>
  <si>
    <t xml:space="preserve">Meals for Breakfast </t>
  </si>
  <si>
    <t>5854</t>
  </si>
  <si>
    <t>8342441</t>
  </si>
  <si>
    <t>Transportation of the GSP Ilocos Sur campers to the airport for their trip to the National Camp in Davao. (Charged to CAMPINGS)</t>
  </si>
  <si>
    <t>Payment for Expenses Incurred during the</t>
  </si>
  <si>
    <t xml:space="preserve">    Transportation of the GSP Ilocos Sur </t>
  </si>
  <si>
    <t xml:space="preserve">    campers to the airport for their trip to the </t>
  </si>
  <si>
    <t xml:space="preserve">    National Camp in Davao on Feb. 13-18, 2026</t>
  </si>
  <si>
    <t xml:space="preserve">    (Vigan to NAIA)</t>
  </si>
  <si>
    <t>Campings - Transportation and Travel</t>
  </si>
  <si>
    <t>Campings - Gasoline</t>
  </si>
  <si>
    <t>Campings - Meals and Snacks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</si>
  <si>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8"/>
        <rFont val="Arial"/>
        <family val="2"/>
      </rPr>
      <t>SEVEN THOUSAND SIX HUNDRED</t>
    </r>
  </si>
  <si>
    <t>EIGHTY EIGHT PESOS &amp; 31/100 ONLY (P7,688.31)</t>
  </si>
  <si>
    <t>2026 - 02 - 203668</t>
  </si>
  <si>
    <t>GIRL SCOUTS OF THE PHILIPPINES - NES</t>
  </si>
  <si>
    <t>Payment on NES purchased on February 10, 2026</t>
  </si>
  <si>
    <t xml:space="preserve">  (Invoice No. 02008)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</si>
  <si>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TWELVE THOUSAND</t>
    </r>
  </si>
  <si>
    <t>2026 - 02 - 203669</t>
  </si>
  <si>
    <t>METRO VIGAN CAR CARE CENTER CORP.</t>
  </si>
  <si>
    <t>Buquig, Bantay,</t>
  </si>
  <si>
    <t>Payment for the Replacement of Fuel Filter</t>
  </si>
  <si>
    <t xml:space="preserve">    of the GSP Ilocos Sur Council Service Vehicle</t>
  </si>
  <si>
    <t xml:space="preserve">    (Toyota Hi-Ace #TNI-799)</t>
  </si>
  <si>
    <t>Maintenance - Service Vehicle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</si>
  <si>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10"/>
        <rFont val="Arial"/>
        <family val="2"/>
      </rPr>
      <t>TWO THOUSAND</t>
    </r>
  </si>
  <si>
    <t>ONE HUNDRED PESOS &amp; 00/100 ONLY (P2,100.00)</t>
  </si>
  <si>
    <t xml:space="preserve">  (Invoice No. 02095)</t>
  </si>
  <si>
    <t xml:space="preserve">Payment for Materials to Be Used in the </t>
  </si>
  <si>
    <t xml:space="preserve">   Installation of Sixteen (16) CCTV Cameras at </t>
  </si>
  <si>
    <t xml:space="preserve">   the GSP Ilocos Sur Council Headquarters</t>
  </si>
  <si>
    <t>RORY FENIS</t>
  </si>
  <si>
    <t>2026 - 02 - 203671</t>
  </si>
  <si>
    <t>NINE HUNDRED PESOS &amp; 00/100 ONLY (P7,900.00)</t>
  </si>
  <si>
    <t xml:space="preserve">Payment for the Renewal of the Fire Safety </t>
  </si>
  <si>
    <t xml:space="preserve">   Business Permit Renewal of the Ilocos Sur</t>
  </si>
  <si>
    <t xml:space="preserve">   Girl Scout Council</t>
  </si>
  <si>
    <r>
      <rPr>
        <b/>
        <sz val="10"/>
        <color theme="1"/>
        <rFont val="Arial"/>
        <family val="2"/>
      </rPr>
      <t xml:space="preserve"> </t>
    </r>
    <r>
      <rPr>
        <i/>
        <sz val="10"/>
        <color theme="1"/>
        <rFont val="Arial"/>
        <family val="2"/>
      </rPr>
      <t xml:space="preserve">  (AR-2154655 and AR-2154612 dated Feb. 18, 2026)</t>
    </r>
  </si>
  <si>
    <t xml:space="preserve">   Inspection Certificate in Support of the 2026</t>
  </si>
  <si>
    <t>Licenses and Permits - FSIC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</si>
  <si>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8"/>
        <rFont val="Arial"/>
        <family val="2"/>
      </rPr>
      <t>ONE THOUSAND</t>
    </r>
  </si>
  <si>
    <t>FORTY PESOS &amp; 00/100 ONLY (P1,040.00)</t>
  </si>
  <si>
    <t>2026 - 02 - 203672</t>
  </si>
  <si>
    <t>Payment of NES purchased on February 13, 2026</t>
  </si>
  <si>
    <t>2026 - 02 - 203673</t>
  </si>
  <si>
    <t xml:space="preserve">Additional Payment for the Purchase of EPSON </t>
  </si>
  <si>
    <t xml:space="preserve">   Workforce Pro Ink</t>
  </si>
  <si>
    <r>
      <t xml:space="preserve">   </t>
    </r>
    <r>
      <rPr>
        <b/>
        <i/>
        <sz val="9"/>
        <color theme="1"/>
        <rFont val="Arial"/>
        <family val="2"/>
      </rPr>
      <t>Amount Withdrawn per CV#203666</t>
    </r>
  </si>
  <si>
    <r>
      <t xml:space="preserve">   </t>
    </r>
    <r>
      <rPr>
        <b/>
        <i/>
        <sz val="9"/>
        <color theme="1"/>
        <rFont val="Arial"/>
        <family val="2"/>
      </rPr>
      <t>Amount to be Paid</t>
    </r>
  </si>
  <si>
    <r>
      <t xml:space="preserve">   </t>
    </r>
    <r>
      <rPr>
        <b/>
        <i/>
        <sz val="9"/>
        <color theme="1"/>
        <rFont val="Arial"/>
        <family val="2"/>
      </rPr>
      <t>Balance</t>
    </r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</si>
  <si>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8"/>
        <rFont val="Arial"/>
        <family val="2"/>
      </rPr>
      <t>FIVE THOUSAND</t>
    </r>
  </si>
  <si>
    <t>EIGHTY FIVE PESOS &amp; 00/100 ONLY (P5,085.00)</t>
  </si>
  <si>
    <t>2026 - 02 - 203674</t>
  </si>
  <si>
    <t xml:space="preserve">    participation in the National Camp held in </t>
  </si>
  <si>
    <t xml:space="preserve">Payment for Expenses incurred during the </t>
  </si>
  <si>
    <t xml:space="preserve">    Campers from NAIA to Vigan following their </t>
  </si>
  <si>
    <t>Toll Fee (Bocaue Barrier Tarlac)</t>
  </si>
  <si>
    <t>123220807361</t>
  </si>
  <si>
    <t>100243797</t>
  </si>
  <si>
    <t>1416145</t>
  </si>
  <si>
    <t>Bottled Water</t>
  </si>
  <si>
    <t>529080</t>
  </si>
  <si>
    <t>Cup Noodles</t>
  </si>
  <si>
    <t>529073</t>
  </si>
  <si>
    <t>1028</t>
  </si>
  <si>
    <t>292060396022</t>
  </si>
  <si>
    <t>104170945687</t>
  </si>
  <si>
    <t>75243333</t>
  </si>
  <si>
    <t>Parking Fee (NAIA)</t>
  </si>
  <si>
    <t>62000124742-00</t>
  </si>
  <si>
    <t>380806</t>
  </si>
  <si>
    <t>1416501</t>
  </si>
  <si>
    <t xml:space="preserve">    Davao City last February 13-18, 2026.</t>
  </si>
  <si>
    <t>FIFTY EIGHT PESOS &amp; 34/100 ONLY (P7,658.34)</t>
  </si>
  <si>
    <t>2026 - 02 - 203670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</si>
  <si>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10"/>
        <rFont val="Arial"/>
        <family val="2"/>
      </rPr>
      <t>THIRTY THOUSAND</t>
    </r>
  </si>
  <si>
    <t>PESOS &amp; 00/100 ONLY (P30,000.00)</t>
  </si>
  <si>
    <t>Office Equipment - CCTV (Materials)</t>
  </si>
  <si>
    <t>Transportation of GSP Ilocos Sur campers from NAIA to Vigan after attending the National Camp in Davao City.(Charged to CAMPINGS)</t>
  </si>
  <si>
    <r>
      <t xml:space="preserve">Check </t>
    </r>
    <r>
      <rPr>
        <b/>
        <u/>
        <sz val="11"/>
        <color theme="1"/>
        <rFont val="Arial"/>
        <family val="2"/>
      </rPr>
      <t>93861786</t>
    </r>
  </si>
  <si>
    <t>2026 - 02 - 203675</t>
  </si>
  <si>
    <t>Cash Advance for the Council Board Training</t>
  </si>
  <si>
    <t xml:space="preserve">   on February 22, 2026 at the GSP Ilocos Sur</t>
  </si>
  <si>
    <t xml:space="preserve">   Headquarters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</si>
  <si>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8"/>
        <rFont val="Arial"/>
        <family val="2"/>
      </rPr>
      <t>FIFTEEN THOUSAND</t>
    </r>
  </si>
  <si>
    <t>PESOS &amp; 00/100 ONLY (P15,000.00)</t>
  </si>
  <si>
    <t>2026 - 02 - 203676</t>
  </si>
  <si>
    <t xml:space="preserve">   Ham Radio Unit Rental Fee</t>
  </si>
  <si>
    <t xml:space="preserve">   Battery / Power Supply Usage</t>
  </si>
  <si>
    <t xml:space="preserve">   Technical Operator / Setup Assistance</t>
  </si>
  <si>
    <t xml:space="preserve">   TOTAL</t>
  </si>
  <si>
    <t xml:space="preserve">Payment for the Radio Rental Unit and Radio </t>
  </si>
  <si>
    <t xml:space="preserve">   Operator for the conduct of the "World </t>
  </si>
  <si>
    <t xml:space="preserve">   Thinking Day on Air" on February 21, 2026 </t>
  </si>
  <si>
    <t>World Thinking Day - Ham Radio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</si>
  <si>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8"/>
        <rFont val="Arial"/>
        <family val="2"/>
      </rPr>
      <t>ELEVEN THOUSAND</t>
    </r>
  </si>
  <si>
    <t>PESOS &amp; 00/100 ONLY (P11,000.00)</t>
  </si>
  <si>
    <t>00212624</t>
  </si>
  <si>
    <t>00212625</t>
  </si>
  <si>
    <t>00212626</t>
  </si>
  <si>
    <t>00212627</t>
  </si>
  <si>
    <t>00212628</t>
  </si>
  <si>
    <t>00212629</t>
  </si>
  <si>
    <t>00212630</t>
  </si>
  <si>
    <t>00212631</t>
  </si>
  <si>
    <t>00212632</t>
  </si>
  <si>
    <t>Transportation</t>
  </si>
  <si>
    <t>Acrylic A4 and Photo Paper</t>
  </si>
  <si>
    <t>19677</t>
  </si>
  <si>
    <t>1 Ream A4, 1 Ream Long Bondpaper</t>
  </si>
  <si>
    <t>19692</t>
  </si>
  <si>
    <t>Postage and Freight</t>
  </si>
  <si>
    <t>Freight for Documents Shipped to RHQ</t>
  </si>
  <si>
    <t>Lamination</t>
  </si>
  <si>
    <t>43225</t>
  </si>
  <si>
    <t>VGN0110000005190</t>
  </si>
  <si>
    <t>Freight for Documents Shipped to NHQ</t>
  </si>
  <si>
    <t>VGN0110000005189</t>
  </si>
  <si>
    <t>Tricycle Fare</t>
  </si>
  <si>
    <t>Pepsi and Bottled Water</t>
  </si>
  <si>
    <t>279980</t>
  </si>
  <si>
    <t>00212633</t>
  </si>
  <si>
    <t>Paper Cutter A3</t>
  </si>
  <si>
    <t>1585656</t>
  </si>
  <si>
    <t>19724</t>
  </si>
  <si>
    <t>2026 - 02 - 203677</t>
  </si>
  <si>
    <t xml:space="preserve">   PCV #212624 dated February 11, 2026</t>
  </si>
  <si>
    <t xml:space="preserve">   PCV #212625 dated February 12, 2026</t>
  </si>
  <si>
    <t xml:space="preserve">   PCV #212626-212629 dated February 16, 2026</t>
  </si>
  <si>
    <t xml:space="preserve">   PCV #212630 dated February 18, 2026</t>
  </si>
  <si>
    <t xml:space="preserve">   PCV #212632-212633 dated February 20, 2026</t>
  </si>
  <si>
    <t xml:space="preserve">   PCV #212631 dated February 19, 2026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</si>
  <si>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10"/>
        <rFont val="Arial"/>
        <family val="2"/>
      </rPr>
      <t>THREE THOUSAND EIGHT</t>
    </r>
  </si>
  <si>
    <t>HUNDRED TEN &amp; 50/100 ONLY (P3,810.50)</t>
  </si>
  <si>
    <t>2026 - 02 - 203678</t>
  </si>
  <si>
    <r>
      <t xml:space="preserve">Check </t>
    </r>
    <r>
      <rPr>
        <b/>
        <u/>
        <sz val="11"/>
        <color theme="1"/>
        <rFont val="Arial"/>
        <family val="2"/>
      </rPr>
      <t>93861787</t>
    </r>
  </si>
  <si>
    <t>Payment of NES purchased on February 16, 2026</t>
  </si>
  <si>
    <t xml:space="preserve">  (Invoice No. 02100, 02099 and 02108)</t>
  </si>
  <si>
    <t>SIX HUNDRED EIGHTY FIVE PESOS &amp; 00/100 ONLY (P37,685.00)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</si>
  <si>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8"/>
        <rFont val="Arial"/>
        <family val="2"/>
      </rPr>
      <t>THIRTY SEVEN THOUSAND</t>
    </r>
  </si>
  <si>
    <t>2026 - 02 - 203679</t>
  </si>
  <si>
    <t>JOHN ELY MEDENILLA</t>
  </si>
  <si>
    <t xml:space="preserve">Payment for the Dance Instructor for the GSP </t>
  </si>
  <si>
    <t xml:space="preserve">  Ilocos Sur Council’s intermission number </t>
  </si>
  <si>
    <t xml:space="preserve">  Burgos on January 18, 2026.</t>
  </si>
  <si>
    <t xml:space="preserve">  during the Vigan People’s Night held at Plaza </t>
  </si>
  <si>
    <t>Professional Fee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</si>
  <si>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10"/>
        <rFont val="Arial"/>
        <family val="2"/>
      </rPr>
      <t>THREE THOUSAND</t>
    </r>
  </si>
  <si>
    <t>PESOS &amp; 00/100 ONLY (3,000.00)</t>
  </si>
  <si>
    <t>73230</t>
  </si>
  <si>
    <t>73236</t>
  </si>
  <si>
    <t>Lunch</t>
  </si>
  <si>
    <t>73243</t>
  </si>
  <si>
    <t>Professional Fee of Operator</t>
  </si>
  <si>
    <t>AR</t>
  </si>
  <si>
    <t>2026 - 02 - 203680</t>
  </si>
  <si>
    <t>Summary of Expenses Incurred during the World Thinking Day on Air at the GSP Ilocos Sur Headquarters last February 21, 2026. (Charged to Trainings)</t>
  </si>
  <si>
    <t xml:space="preserve">Payment for Expenses Expenses Incurred </t>
  </si>
  <si>
    <t xml:space="preserve">    during the World Thinking Day on Air at the </t>
  </si>
  <si>
    <t xml:space="preserve">    GSP Ilocos Sur Headquarters last </t>
  </si>
  <si>
    <t xml:space="preserve">    February 21, 2026.</t>
  </si>
  <si>
    <t>Trainings - Meals and Snacks</t>
  </si>
  <si>
    <t>Trainings - Professional Fee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</si>
  <si>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8"/>
        <rFont val="Arial"/>
        <family val="2"/>
      </rPr>
      <t>THREE THOUSAND</t>
    </r>
  </si>
  <si>
    <t>FIFTEEN PESOS &amp; 00/100 ONLY (P3,015.00)</t>
  </si>
  <si>
    <t>2026 - 02 - 203681</t>
  </si>
  <si>
    <t xml:space="preserve">Cash Advance for the 54th Star Provincial </t>
  </si>
  <si>
    <t xml:space="preserve">   Holiday on February 27-March 1, 2026 at the </t>
  </si>
  <si>
    <t xml:space="preserve">   GSP Ilocos Sur</t>
  </si>
  <si>
    <t>2026 - 02 - 203682</t>
  </si>
  <si>
    <t>Cash Advance for the field Adviser's Meeting</t>
  </si>
  <si>
    <t xml:space="preserve">   on February 28, 2026 at the GSP Ilocos Sur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</si>
  <si>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8"/>
        <rFont val="Arial"/>
        <family val="2"/>
      </rPr>
      <t>ONE HUNDRED SIX THOUSAND</t>
    </r>
  </si>
  <si>
    <t>ONE HUNDRED PESOS &amp; 00/100 ONLY (P106,100.00)</t>
  </si>
  <si>
    <t>For the Period of FEBRUARY 16-28, 2026</t>
  </si>
  <si>
    <t>2026 - 02 - 203683</t>
  </si>
  <si>
    <t xml:space="preserve">  Sur Personnel for the Period of February </t>
  </si>
  <si>
    <t xml:space="preserve">  16-28, 2026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</si>
  <si>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8"/>
        <rFont val="Arial"/>
        <family val="2"/>
      </rPr>
      <t>SIXTY TWO THOUSAND</t>
    </r>
  </si>
  <si>
    <t>NINE HUNDRED NINE &amp; 29/100 ONLY (P62,909.29)</t>
  </si>
  <si>
    <t>2026 - 02 - 203684</t>
  </si>
  <si>
    <t xml:space="preserve">Payment of Premiums of the GSP Ilocos Sur </t>
  </si>
  <si>
    <t xml:space="preserve">  Personnel for the Month of February, 2026</t>
  </si>
  <si>
    <t>Philhealth Premium Expense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</si>
  <si>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8"/>
        <rFont val="Arial"/>
        <family val="2"/>
      </rPr>
      <t>TWENTY TWO THOUSAND</t>
    </r>
  </si>
  <si>
    <t>FOUR HUNDRED THIRTY THREE PESOS &amp; 40/100 ONLY (P22,433.40)</t>
  </si>
  <si>
    <t>2026 - 02 - 203685</t>
  </si>
  <si>
    <t xml:space="preserve">Payment for the 1 TB Portable Samsung </t>
  </si>
  <si>
    <t xml:space="preserve">  SSD T9 USB 3.2 Gen</t>
  </si>
  <si>
    <t>Office Supplies - Solid State Drive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</si>
  <si>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9"/>
        <rFont val="Arial"/>
        <family val="2"/>
      </rPr>
      <t>SEVENTEEN THOUSAND</t>
    </r>
  </si>
  <si>
    <t>SIX HUNDRED FIFTY PESOS &amp; 00/100 ONLY (P17,650.00)</t>
  </si>
  <si>
    <t>OFFICE LOCATION</t>
  </si>
  <si>
    <t>ELECTRICITY EXPENSE BREAKDOWN</t>
  </si>
  <si>
    <t>For the Month of February, 2026</t>
  </si>
  <si>
    <t>ACCOUNT NO.</t>
  </si>
  <si>
    <t>30-0320-0880</t>
  </si>
  <si>
    <t>510000000416470</t>
  </si>
  <si>
    <t>30-0320-3371</t>
  </si>
  <si>
    <t>510000000416649</t>
  </si>
  <si>
    <t>07-0500-0010</t>
  </si>
  <si>
    <t>510000000403455</t>
  </si>
  <si>
    <r>
      <t xml:space="preserve">Check </t>
    </r>
    <r>
      <rPr>
        <b/>
        <u/>
        <sz val="11"/>
        <color theme="1"/>
        <rFont val="Arial"/>
        <family val="2"/>
      </rPr>
      <t>93861788</t>
    </r>
  </si>
  <si>
    <t>Ayusan Norte,</t>
  </si>
  <si>
    <t>Viagn City, Ilocos Sur</t>
  </si>
  <si>
    <t>Payment of Electric Bill for the Month</t>
  </si>
  <si>
    <t xml:space="preserve">   of February, 2026</t>
  </si>
  <si>
    <t xml:space="preserve">  (Invoice No. 510000000416470, 510000000416649</t>
  </si>
  <si>
    <t xml:space="preserve">  and 510000000403455)</t>
  </si>
  <si>
    <t>Electric Bill</t>
  </si>
  <si>
    <r>
      <t xml:space="preserve">Received from the </t>
    </r>
    <r>
      <rPr>
        <b/>
        <sz val="10"/>
        <rFont val="Arial"/>
        <family val="2"/>
      </rPr>
      <t>GIRL SCOUTS OF THE PHILIPPINES</t>
    </r>
    <r>
      <rPr>
        <sz val="10"/>
        <rFont val="Arial"/>
        <family val="2"/>
      </rPr>
      <t xml:space="preserve"> the amount of</t>
    </r>
    <r>
      <rPr>
        <sz val="11"/>
        <rFont val="Arial"/>
        <family val="2"/>
      </rPr>
      <t xml:space="preserve"> </t>
    </r>
    <r>
      <rPr>
        <b/>
        <sz val="8"/>
        <rFont val="Arial"/>
        <family val="2"/>
      </rPr>
      <t>TEN THOUSAND</t>
    </r>
  </si>
  <si>
    <t>ONE HUNDRED NINETY ONE PESOS &amp; 73/100 ONLY (P10,191.73)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</si>
</sst>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&quot;₱&quot;#,##0.00"/>
    <numFmt numFmtId="165" formatCode="_(* #,##0.00_);_(* \(#,##0.00\);_(* &quot;-&quot;??_);_(@_)"/>
    <numFmt numFmtId="166" formatCode="[$-3409]dd\-mmm\-yy;@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sz val="5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2"/>
      <color theme="1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6"/>
      <name val="Arial"/>
      <family val="2"/>
    </font>
    <font>
      <b/>
      <sz val="8"/>
      <name val="Arial"/>
      <family val="2"/>
    </font>
    <font>
      <b/>
      <u val="singleAccounting"/>
      <sz val="10"/>
      <name val="Arial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b/>
      <u/>
      <sz val="8"/>
      <color theme="1"/>
      <name val="Arial"/>
      <family val="2"/>
    </font>
    <font>
      <b/>
      <u/>
      <sz val="9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u val="double"/>
      <sz val="11"/>
      <name val="Arial"/>
      <family val="2"/>
    </font>
    <font>
      <b/>
      <u val="double"/>
      <sz val="12"/>
      <name val="Arial"/>
      <family val="2"/>
    </font>
    <font>
      <sz val="8"/>
      <name val="Calibri"/>
      <family val="2"/>
      <scheme val="minor"/>
    </font>
    <font>
      <b/>
      <u/>
      <sz val="11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Calibri"/>
      <family val="2"/>
      <scheme val="minor"/>
    </font>
    <font>
      <b/>
      <i/>
      <sz val="10.5"/>
      <name val="Arial"/>
      <family val="2"/>
    </font>
    <font>
      <i/>
      <sz val="10"/>
      <color theme="1"/>
      <name val="Arial"/>
      <family val="2"/>
    </font>
    <font>
      <b/>
      <i/>
      <sz val="9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0"/>
      <name val="Arial"/>
      <family val="2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4">
    <xf numFmtId="0" fontId="0" fillId="0" borderId="0" xfId="0"/>
    <xf numFmtId="0" fontId="0" fillId="0" borderId="0" xfId="0" applyAlignment="1">
      <alignment horizontal="right"/>
    </xf>
    <xf numFmtId="0" fontId="3" fillId="0" borderId="0" xfId="0" quotePrefix="1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49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left"/>
    </xf>
    <xf numFmtId="43" fontId="0" fillId="0" borderId="0" xfId="1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10" fillId="0" borderId="2" xfId="0" applyFont="1" applyBorder="1"/>
    <xf numFmtId="0" fontId="10" fillId="0" borderId="3" xfId="0" applyFont="1" applyBorder="1"/>
    <xf numFmtId="43" fontId="10" fillId="0" borderId="3" xfId="1" applyFont="1" applyFill="1" applyBorder="1" applyAlignment="1">
      <alignment horizontal="right"/>
    </xf>
    <xf numFmtId="43" fontId="10" fillId="0" borderId="2" xfId="1" applyFont="1" applyFill="1" applyBorder="1"/>
    <xf numFmtId="0" fontId="10" fillId="0" borderId="4" xfId="0" applyFont="1" applyBorder="1"/>
    <xf numFmtId="0" fontId="10" fillId="0" borderId="0" xfId="0" applyFont="1"/>
    <xf numFmtId="0" fontId="10" fillId="0" borderId="5" xfId="0" applyFont="1" applyBorder="1"/>
    <xf numFmtId="0" fontId="9" fillId="0" borderId="0" xfId="0" applyFont="1"/>
    <xf numFmtId="43" fontId="9" fillId="0" borderId="0" xfId="1" applyFont="1" applyFill="1" applyBorder="1" applyAlignment="1">
      <alignment horizontal="right"/>
    </xf>
    <xf numFmtId="43" fontId="10" fillId="0" borderId="5" xfId="1" applyFont="1" applyFill="1" applyBorder="1"/>
    <xf numFmtId="0" fontId="10" fillId="0" borderId="6" xfId="0" applyFont="1" applyBorder="1"/>
    <xf numFmtId="43" fontId="4" fillId="0" borderId="5" xfId="1" applyFont="1" applyFill="1" applyBorder="1"/>
    <xf numFmtId="164" fontId="4" fillId="0" borderId="6" xfId="1" applyNumberFormat="1" applyFont="1" applyFill="1" applyBorder="1"/>
    <xf numFmtId="43" fontId="4" fillId="0" borderId="6" xfId="1" applyFont="1" applyFill="1" applyBorder="1"/>
    <xf numFmtId="0" fontId="0" fillId="0" borderId="7" xfId="0" applyBorder="1"/>
    <xf numFmtId="0" fontId="0" fillId="0" borderId="8" xfId="0" applyBorder="1"/>
    <xf numFmtId="165" fontId="10" fillId="0" borderId="9" xfId="0" applyNumberFormat="1" applyFont="1" applyBorder="1"/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left"/>
    </xf>
    <xf numFmtId="43" fontId="0" fillId="0" borderId="0" xfId="0" applyNumberFormat="1"/>
    <xf numFmtId="0" fontId="6" fillId="0" borderId="0" xfId="0" applyFont="1" applyAlignment="1">
      <alignment horizontal="center"/>
    </xf>
    <xf numFmtId="165" fontId="0" fillId="0" borderId="0" xfId="0" applyNumberFormat="1"/>
    <xf numFmtId="0" fontId="0" fillId="0" borderId="10" xfId="0" applyBorder="1"/>
    <xf numFmtId="0" fontId="13" fillId="0" borderId="0" xfId="0" applyFont="1"/>
    <xf numFmtId="0" fontId="8" fillId="0" borderId="10" xfId="0" applyFont="1" applyBorder="1"/>
    <xf numFmtId="43" fontId="14" fillId="0" borderId="0" xfId="1" applyFont="1"/>
    <xf numFmtId="0" fontId="14" fillId="0" borderId="0" xfId="0" applyFont="1"/>
    <xf numFmtId="14" fontId="4" fillId="0" borderId="11" xfId="0" applyNumberFormat="1" applyFont="1" applyBorder="1" applyAlignment="1">
      <alignment horizontal="left"/>
    </xf>
    <xf numFmtId="0" fontId="4" fillId="0" borderId="11" xfId="0" applyFont="1" applyBorder="1" applyAlignment="1">
      <alignment horizontal="center"/>
    </xf>
    <xf numFmtId="49" fontId="10" fillId="0" borderId="11" xfId="0" applyNumberFormat="1" applyFont="1" applyBorder="1" applyAlignment="1">
      <alignment horizontal="center"/>
    </xf>
    <xf numFmtId="14" fontId="4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164" fontId="10" fillId="0" borderId="0" xfId="1" applyNumberFormat="1" applyFont="1"/>
    <xf numFmtId="43" fontId="10" fillId="0" borderId="0" xfId="1" applyFont="1"/>
    <xf numFmtId="43" fontId="10" fillId="0" borderId="0" xfId="1" applyFont="1" applyBorder="1"/>
    <xf numFmtId="43" fontId="14" fillId="0" borderId="0" xfId="1" applyFont="1" applyBorder="1"/>
    <xf numFmtId="43" fontId="10" fillId="0" borderId="8" xfId="1" applyFont="1" applyBorder="1"/>
    <xf numFmtId="164" fontId="10" fillId="0" borderId="0" xfId="1" applyNumberFormat="1" applyFont="1" applyBorder="1"/>
    <xf numFmtId="164" fontId="4" fillId="0" borderId="12" xfId="1" applyNumberFormat="1" applyFont="1" applyBorder="1"/>
    <xf numFmtId="49" fontId="14" fillId="0" borderId="0" xfId="0" applyNumberFormat="1" applyFont="1" applyAlignment="1">
      <alignment horizontal="center"/>
    </xf>
    <xf numFmtId="43" fontId="4" fillId="0" borderId="0" xfId="1" applyFont="1"/>
    <xf numFmtId="0" fontId="15" fillId="0" borderId="0" xfId="0" applyFont="1" applyAlignment="1">
      <alignment horizontal="center"/>
    </xf>
    <xf numFmtId="43" fontId="4" fillId="0" borderId="5" xfId="1" applyFont="1" applyBorder="1"/>
    <xf numFmtId="49" fontId="4" fillId="0" borderId="0" xfId="0" applyNumberFormat="1" applyFont="1" applyAlignment="1">
      <alignment horizontal="left"/>
    </xf>
    <xf numFmtId="43" fontId="14" fillId="0" borderId="8" xfId="1" applyFont="1" applyBorder="1"/>
    <xf numFmtId="0" fontId="4" fillId="0" borderId="0" xfId="0" applyFont="1"/>
    <xf numFmtId="43" fontId="0" fillId="0" borderId="0" xfId="1" applyFont="1" applyAlignment="1">
      <alignment horizontal="right"/>
    </xf>
    <xf numFmtId="49" fontId="4" fillId="0" borderId="10" xfId="0" applyNumberFormat="1" applyFont="1" applyBorder="1" applyAlignment="1">
      <alignment horizontal="left"/>
    </xf>
    <xf numFmtId="14" fontId="4" fillId="0" borderId="11" xfId="0" applyNumberFormat="1" applyFont="1" applyBorder="1" applyAlignment="1">
      <alignment horizontal="center" wrapText="1"/>
    </xf>
    <xf numFmtId="12" fontId="10" fillId="0" borderId="0" xfId="0" applyNumberFormat="1" applyFont="1" applyAlignment="1">
      <alignment horizontal="center" vertical="center"/>
    </xf>
    <xf numFmtId="12" fontId="10" fillId="0" borderId="0" xfId="0" applyNumberFormat="1" applyFont="1" applyAlignment="1">
      <alignment horizontal="center"/>
    </xf>
    <xf numFmtId="12" fontId="10" fillId="0" borderId="0" xfId="1" applyNumberFormat="1" applyFont="1" applyAlignment="1">
      <alignment horizontal="center" vertical="top"/>
    </xf>
    <xf numFmtId="164" fontId="4" fillId="0" borderId="0" xfId="1" applyNumberFormat="1" applyFont="1"/>
    <xf numFmtId="43" fontId="0" fillId="0" borderId="0" xfId="1" applyFont="1"/>
    <xf numFmtId="0" fontId="18" fillId="0" borderId="0" xfId="0" applyFont="1"/>
    <xf numFmtId="0" fontId="8" fillId="0" borderId="0" xfId="0" applyFont="1" applyAlignment="1">
      <alignment horizontal="center"/>
    </xf>
    <xf numFmtId="43" fontId="8" fillId="0" borderId="0" xfId="1" applyFont="1" applyAlignment="1">
      <alignment horizontal="right"/>
    </xf>
    <xf numFmtId="43" fontId="8" fillId="0" borderId="0" xfId="1" applyFont="1" applyAlignment="1">
      <alignment horizontal="left"/>
    </xf>
    <xf numFmtId="0" fontId="19" fillId="0" borderId="2" xfId="0" applyFont="1" applyBorder="1" applyAlignment="1">
      <alignment horizontal="center"/>
    </xf>
    <xf numFmtId="43" fontId="19" fillId="0" borderId="2" xfId="1" applyFont="1" applyBorder="1" applyAlignment="1">
      <alignment horizontal="right"/>
    </xf>
    <xf numFmtId="0" fontId="19" fillId="0" borderId="4" xfId="0" applyFont="1" applyBorder="1" applyAlignment="1">
      <alignment horizontal="center"/>
    </xf>
    <xf numFmtId="43" fontId="21" fillId="0" borderId="15" xfId="1" applyFont="1" applyBorder="1" applyAlignment="1">
      <alignment horizontal="right"/>
    </xf>
    <xf numFmtId="0" fontId="20" fillId="0" borderId="6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43" fontId="21" fillId="0" borderId="15" xfId="1" applyFont="1" applyBorder="1" applyAlignment="1">
      <alignment horizontal="center"/>
    </xf>
    <xf numFmtId="43" fontId="21" fillId="0" borderId="5" xfId="1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43" fontId="21" fillId="0" borderId="16" xfId="1" applyFont="1" applyBorder="1" applyAlignment="1">
      <alignment horizontal="center"/>
    </xf>
    <xf numFmtId="43" fontId="21" fillId="0" borderId="7" xfId="1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6" fillId="0" borderId="13" xfId="0" applyFont="1" applyBorder="1"/>
    <xf numFmtId="0" fontId="19" fillId="0" borderId="11" xfId="0" applyFont="1" applyBorder="1"/>
    <xf numFmtId="164" fontId="13" fillId="0" borderId="11" xfId="1" applyNumberFormat="1" applyFont="1" applyBorder="1" applyAlignment="1">
      <alignment horizontal="right"/>
    </xf>
    <xf numFmtId="164" fontId="13" fillId="0" borderId="16" xfId="1" applyNumberFormat="1" applyFont="1" applyBorder="1" applyAlignment="1">
      <alignment horizontal="right"/>
    </xf>
    <xf numFmtId="165" fontId="13" fillId="0" borderId="11" xfId="0" applyNumberFormat="1" applyFont="1" applyBorder="1"/>
    <xf numFmtId="0" fontId="16" fillId="0" borderId="11" xfId="0" applyFont="1" applyBorder="1"/>
    <xf numFmtId="43" fontId="13" fillId="0" borderId="11" xfId="1" applyFont="1" applyBorder="1" applyAlignment="1">
      <alignment horizontal="right"/>
    </xf>
    <xf numFmtId="43" fontId="13" fillId="0" borderId="16" xfId="1" applyFont="1" applyBorder="1" applyAlignment="1">
      <alignment horizontal="right"/>
    </xf>
    <xf numFmtId="43" fontId="13" fillId="0" borderId="7" xfId="1" applyFont="1" applyBorder="1" applyAlignment="1">
      <alignment horizontal="left"/>
    </xf>
    <xf numFmtId="43" fontId="13" fillId="0" borderId="11" xfId="1" applyFont="1" applyBorder="1" applyAlignment="1">
      <alignment horizontal="left"/>
    </xf>
    <xf numFmtId="0" fontId="20" fillId="0" borderId="11" xfId="0" applyFont="1" applyBorder="1"/>
    <xf numFmtId="43" fontId="16" fillId="0" borderId="11" xfId="1" applyFont="1" applyBorder="1" applyAlignment="1">
      <alignment horizontal="center"/>
    </xf>
    <xf numFmtId="0" fontId="13" fillId="0" borderId="11" xfId="0" applyFont="1" applyBorder="1"/>
    <xf numFmtId="0" fontId="16" fillId="0" borderId="11" xfId="0" applyFont="1" applyBorder="1" applyAlignment="1">
      <alignment horizontal="right"/>
    </xf>
    <xf numFmtId="164" fontId="16" fillId="0" borderId="11" xfId="1" applyNumberFormat="1" applyFont="1" applyBorder="1" applyAlignment="1">
      <alignment horizontal="right"/>
    </xf>
    <xf numFmtId="0" fontId="19" fillId="0" borderId="0" xfId="0" applyFont="1"/>
    <xf numFmtId="0" fontId="22" fillId="0" borderId="0" xfId="0" applyFont="1"/>
    <xf numFmtId="43" fontId="12" fillId="0" borderId="0" xfId="1" applyFont="1" applyBorder="1" applyAlignment="1">
      <alignment horizontal="right"/>
    </xf>
    <xf numFmtId="43" fontId="12" fillId="0" borderId="0" xfId="1" applyFont="1" applyBorder="1" applyAlignment="1">
      <alignment horizontal="left"/>
    </xf>
    <xf numFmtId="165" fontId="19" fillId="0" borderId="0" xfId="0" applyNumberFormat="1" applyFont="1"/>
    <xf numFmtId="165" fontId="19" fillId="0" borderId="0" xfId="0" applyNumberFormat="1" applyFont="1" applyAlignment="1">
      <alignment horizontal="left"/>
    </xf>
    <xf numFmtId="43" fontId="19" fillId="0" borderId="2" xfId="1" applyFont="1" applyBorder="1" applyAlignment="1">
      <alignment horizontal="left"/>
    </xf>
    <xf numFmtId="43" fontId="20" fillId="0" borderId="5" xfId="1" applyFont="1" applyBorder="1" applyAlignment="1">
      <alignment horizontal="center"/>
    </xf>
    <xf numFmtId="43" fontId="20" fillId="0" borderId="15" xfId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43" fontId="20" fillId="0" borderId="7" xfId="1" applyFont="1" applyBorder="1" applyAlignment="1">
      <alignment horizontal="center"/>
    </xf>
    <xf numFmtId="43" fontId="20" fillId="0" borderId="16" xfId="1" applyFont="1" applyBorder="1" applyAlignment="1">
      <alignment horizontal="center"/>
    </xf>
    <xf numFmtId="43" fontId="20" fillId="0" borderId="16" xfId="1" applyFont="1" applyBorder="1" applyAlignment="1">
      <alignment horizontal="right"/>
    </xf>
    <xf numFmtId="43" fontId="21" fillId="0" borderId="16" xfId="1" applyFont="1" applyBorder="1" applyAlignment="1">
      <alignment horizontal="right"/>
    </xf>
    <xf numFmtId="43" fontId="19" fillId="0" borderId="7" xfId="1" applyFont="1" applyBorder="1" applyAlignment="1">
      <alignment horizontal="right"/>
    </xf>
    <xf numFmtId="164" fontId="16" fillId="0" borderId="16" xfId="1" applyNumberFormat="1" applyFont="1" applyBorder="1" applyAlignment="1">
      <alignment horizontal="center"/>
    </xf>
    <xf numFmtId="164" fontId="13" fillId="0" borderId="11" xfId="1" applyNumberFormat="1" applyFont="1" applyBorder="1" applyAlignment="1"/>
    <xf numFmtId="43" fontId="13" fillId="0" borderId="16" xfId="1" applyFont="1" applyBorder="1" applyAlignment="1">
      <alignment horizontal="left"/>
    </xf>
    <xf numFmtId="43" fontId="13" fillId="0" borderId="7" xfId="1" applyFont="1" applyBorder="1" applyAlignment="1"/>
    <xf numFmtId="43" fontId="13" fillId="0" borderId="11" xfId="1" applyFont="1" applyBorder="1" applyAlignment="1">
      <alignment horizontal="center"/>
    </xf>
    <xf numFmtId="43" fontId="13" fillId="0" borderId="11" xfId="1" applyFont="1" applyBorder="1" applyAlignment="1"/>
    <xf numFmtId="43" fontId="8" fillId="0" borderId="11" xfId="1" applyFont="1" applyBorder="1" applyAlignment="1">
      <alignment horizontal="center"/>
    </xf>
    <xf numFmtId="43" fontId="2" fillId="0" borderId="11" xfId="1" applyFont="1" applyBorder="1" applyAlignment="1">
      <alignment horizontal="center"/>
    </xf>
    <xf numFmtId="43" fontId="12" fillId="0" borderId="0" xfId="1" applyFont="1" applyBorder="1" applyAlignment="1">
      <alignment horizontal="left" vertical="top"/>
    </xf>
    <xf numFmtId="43" fontId="2" fillId="0" borderId="0" xfId="1" applyFont="1" applyBorder="1" applyAlignment="1">
      <alignment horizontal="left"/>
    </xf>
    <xf numFmtId="43" fontId="2" fillId="0" borderId="0" xfId="1" applyFont="1" applyBorder="1" applyAlignment="1">
      <alignment horizontal="right"/>
    </xf>
    <xf numFmtId="43" fontId="8" fillId="0" borderId="0" xfId="1" applyFont="1" applyBorder="1" applyAlignment="1">
      <alignment horizontal="left"/>
    </xf>
    <xf numFmtId="0" fontId="2" fillId="0" borderId="0" xfId="0" applyFont="1"/>
    <xf numFmtId="43" fontId="8" fillId="0" borderId="0" xfId="1" applyFont="1" applyBorder="1" applyAlignment="1">
      <alignment horizontal="right"/>
    </xf>
    <xf numFmtId="0" fontId="12" fillId="0" borderId="15" xfId="0" applyFont="1" applyBorder="1"/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4" fillId="0" borderId="11" xfId="1" applyFont="1" applyBorder="1" applyAlignment="1">
      <alignment horizontal="center" wrapText="1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43" fontId="4" fillId="0" borderId="3" xfId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5" xfId="0" applyBorder="1"/>
    <xf numFmtId="164" fontId="13" fillId="0" borderId="16" xfId="1" applyNumberFormat="1" applyFont="1" applyBorder="1" applyAlignment="1">
      <alignment horizontal="center"/>
    </xf>
    <xf numFmtId="164" fontId="13" fillId="0" borderId="11" xfId="1" applyNumberFormat="1" applyFont="1" applyBorder="1" applyAlignment="1">
      <alignment horizontal="center"/>
    </xf>
    <xf numFmtId="43" fontId="0" fillId="0" borderId="0" xfId="1" applyFont="1" applyAlignment="1">
      <alignment horizontal="left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4" fillId="0" borderId="11" xfId="1" applyFont="1" applyBorder="1" applyAlignment="1">
      <alignment horizontal="center" wrapText="1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4" fillId="0" borderId="17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15" xfId="0" applyFont="1" applyBorder="1"/>
    <xf numFmtId="0" fontId="14" fillId="0" borderId="6" xfId="0" applyFont="1" applyBorder="1"/>
    <xf numFmtId="0" fontId="2" fillId="0" borderId="6" xfId="0" applyFont="1" applyBorder="1"/>
    <xf numFmtId="166" fontId="26" fillId="0" borderId="1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0" fontId="14" fillId="0" borderId="16" xfId="0" applyFont="1" applyBorder="1"/>
    <xf numFmtId="0" fontId="14" fillId="0" borderId="8" xfId="0" applyFont="1" applyBorder="1"/>
    <xf numFmtId="0" fontId="14" fillId="0" borderId="9" xfId="0" applyFont="1" applyBorder="1"/>
    <xf numFmtId="0" fontId="26" fillId="0" borderId="11" xfId="0" applyFont="1" applyBorder="1" applyAlignment="1">
      <alignment horizontal="center"/>
    </xf>
    <xf numFmtId="0" fontId="14" fillId="0" borderId="13" xfId="0" applyFont="1" applyBorder="1"/>
    <xf numFmtId="0" fontId="14" fillId="0" borderId="1" xfId="0" applyFont="1" applyBorder="1"/>
    <xf numFmtId="0" fontId="14" fillId="0" borderId="11" xfId="0" applyFont="1" applyBorder="1"/>
    <xf numFmtId="0" fontId="14" fillId="0" borderId="14" xfId="0" applyFont="1" applyBorder="1"/>
    <xf numFmtId="0" fontId="27" fillId="0" borderId="17" xfId="0" applyFont="1" applyBorder="1"/>
    <xf numFmtId="0" fontId="17" fillId="0" borderId="3" xfId="0" applyFont="1" applyBorder="1"/>
    <xf numFmtId="0" fontId="17" fillId="0" borderId="4" xfId="0" applyFont="1" applyBorder="1"/>
    <xf numFmtId="0" fontId="27" fillId="0" borderId="2" xfId="0" applyFont="1" applyBorder="1"/>
    <xf numFmtId="0" fontId="14" fillId="0" borderId="5" xfId="0" applyFont="1" applyBorder="1"/>
    <xf numFmtId="0" fontId="28" fillId="0" borderId="0" xfId="0" applyFont="1"/>
    <xf numFmtId="0" fontId="28" fillId="0" borderId="6" xfId="0" applyFont="1" applyBorder="1"/>
    <xf numFmtId="0" fontId="24" fillId="0" borderId="7" xfId="0" applyFont="1" applyBorder="1" applyAlignment="1">
      <alignment horizontal="center"/>
    </xf>
    <xf numFmtId="0" fontId="8" fillId="0" borderId="17" xfId="0" applyFont="1" applyBorder="1" applyAlignment="1">
      <alignment horizontal="left"/>
    </xf>
    <xf numFmtId="0" fontId="24" fillId="0" borderId="0" xfId="0" applyFont="1"/>
    <xf numFmtId="0" fontId="8" fillId="0" borderId="15" xfId="0" applyFont="1" applyBorder="1"/>
    <xf numFmtId="0" fontId="14" fillId="0" borderId="10" xfId="0" applyFont="1" applyBorder="1"/>
    <xf numFmtId="0" fontId="14" fillId="0" borderId="18" xfId="0" applyFont="1" applyBorder="1"/>
    <xf numFmtId="0" fontId="26" fillId="0" borderId="0" xfId="0" applyFont="1" applyAlignment="1">
      <alignment vertical="center"/>
    </xf>
    <xf numFmtId="0" fontId="18" fillId="0" borderId="11" xfId="0" applyFont="1" applyBorder="1" applyAlignment="1">
      <alignment horizontal="center" vertical="center"/>
    </xf>
    <xf numFmtId="166" fontId="26" fillId="0" borderId="15" xfId="0" applyNumberFormat="1" applyFont="1" applyBorder="1" applyAlignment="1">
      <alignment vertical="center"/>
    </xf>
    <xf numFmtId="0" fontId="26" fillId="0" borderId="0" xfId="0" applyFont="1" applyAlignment="1">
      <alignment vertical="top"/>
    </xf>
    <xf numFmtId="0" fontId="17" fillId="0" borderId="0" xfId="0" applyFont="1"/>
    <xf numFmtId="0" fontId="29" fillId="0" borderId="15" xfId="0" applyFont="1" applyBorder="1"/>
    <xf numFmtId="0" fontId="18" fillId="0" borderId="6" xfId="0" applyFont="1" applyBorder="1"/>
    <xf numFmtId="0" fontId="29" fillId="0" borderId="0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15" xfId="0" applyFont="1" applyBorder="1" applyAlignment="1">
      <alignment vertical="center"/>
    </xf>
    <xf numFmtId="0" fontId="14" fillId="0" borderId="3" xfId="0" applyFont="1" applyBorder="1" applyAlignment="1">
      <alignment horizontal="center"/>
    </xf>
    <xf numFmtId="3" fontId="14" fillId="0" borderId="15" xfId="0" applyNumberFormat="1" applyFont="1" applyBorder="1"/>
    <xf numFmtId="164" fontId="17" fillId="0" borderId="6" xfId="0" applyNumberFormat="1" applyFont="1" applyBorder="1" applyAlignment="1">
      <alignment horizontal="left" vertical="center"/>
    </xf>
    <xf numFmtId="0" fontId="18" fillId="0" borderId="13" xfId="0" applyFont="1" applyBorder="1"/>
    <xf numFmtId="44" fontId="14" fillId="0" borderId="11" xfId="0" applyNumberFormat="1" applyFont="1" applyBorder="1"/>
    <xf numFmtId="44" fontId="14" fillId="0" borderId="11" xfId="0" applyNumberFormat="1" applyFont="1" applyBorder="1" applyAlignment="1">
      <alignment horizontal="center" vertical="center"/>
    </xf>
    <xf numFmtId="44" fontId="14" fillId="0" borderId="11" xfId="0" applyNumberFormat="1" applyFont="1" applyBorder="1" applyAlignment="1">
      <alignment horizontal="center" vertical="center"/>
    </xf>
    <xf numFmtId="43" fontId="30" fillId="0" borderId="11" xfId="0" applyNumberFormat="1" applyFont="1" applyBorder="1" applyAlignment="1"/>
    <xf numFmtId="0" fontId="18" fillId="0" borderId="1" xfId="0" applyFont="1" applyBorder="1"/>
    <xf numFmtId="0" fontId="31" fillId="0" borderId="15" xfId="0" applyFont="1" applyBorder="1"/>
    <xf numFmtId="0" fontId="32" fillId="0" borderId="5" xfId="0" applyFont="1" applyBorder="1" applyAlignment="1">
      <alignment horizontal="center"/>
    </xf>
    <xf numFmtId="0" fontId="26" fillId="0" borderId="4" xfId="0" applyFont="1" applyBorder="1" applyAlignment="1">
      <alignment horizontal="right"/>
    </xf>
    <xf numFmtId="0" fontId="26" fillId="0" borderId="9" xfId="0" applyFont="1" applyBorder="1" applyAlignment="1">
      <alignment horizontal="right" vertical="top"/>
    </xf>
    <xf numFmtId="0" fontId="2" fillId="0" borderId="15" xfId="0" applyFont="1" applyBorder="1"/>
    <xf numFmtId="0" fontId="22" fillId="0" borderId="15" xfId="0" applyFont="1" applyBorder="1"/>
    <xf numFmtId="49" fontId="27" fillId="0" borderId="9" xfId="0" applyNumberFormat="1" applyFont="1" applyBorder="1"/>
    <xf numFmtId="166" fontId="34" fillId="0" borderId="17" xfId="0" applyNumberFormat="1" applyFont="1" applyBorder="1" applyAlignment="1">
      <alignment horizontal="left"/>
    </xf>
    <xf numFmtId="49" fontId="34" fillId="0" borderId="3" xfId="0" applyNumberFormat="1" applyFont="1" applyBorder="1" applyAlignment="1">
      <alignment horizontal="left"/>
    </xf>
    <xf numFmtId="0" fontId="9" fillId="0" borderId="3" xfId="0" applyFont="1" applyBorder="1"/>
    <xf numFmtId="49" fontId="18" fillId="0" borderId="3" xfId="0" applyNumberFormat="1" applyFont="1" applyBorder="1" applyAlignment="1">
      <alignment horizontal="center"/>
    </xf>
    <xf numFmtId="43" fontId="9" fillId="0" borderId="4" xfId="1" applyFont="1" applyBorder="1"/>
    <xf numFmtId="166" fontId="34" fillId="0" borderId="15" xfId="0" applyNumberFormat="1" applyFont="1" applyBorder="1" applyAlignment="1">
      <alignment horizontal="left"/>
    </xf>
    <xf numFmtId="49" fontId="34" fillId="0" borderId="0" xfId="0" applyNumberFormat="1" applyFont="1" applyAlignment="1">
      <alignment horizontal="left"/>
    </xf>
    <xf numFmtId="49" fontId="18" fillId="0" borderId="0" xfId="0" applyNumberFormat="1" applyFont="1" applyAlignment="1">
      <alignment horizontal="center"/>
    </xf>
    <xf numFmtId="43" fontId="9" fillId="0" borderId="6" xfId="1" applyFont="1" applyBorder="1"/>
    <xf numFmtId="166" fontId="34" fillId="0" borderId="11" xfId="0" applyNumberFormat="1" applyFont="1" applyBorder="1" applyAlignment="1">
      <alignment horizontal="center" vertical="center"/>
    </xf>
    <xf numFmtId="49" fontId="34" fillId="0" borderId="11" xfId="0" applyNumberFormat="1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43" fontId="34" fillId="0" borderId="11" xfId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9" fillId="0" borderId="0" xfId="0" applyNumberFormat="1" applyFont="1" applyAlignment="1">
      <alignment horizontal="center"/>
    </xf>
    <xf numFmtId="164" fontId="9" fillId="0" borderId="6" xfId="1" applyNumberFormat="1" applyFont="1" applyBorder="1"/>
    <xf numFmtId="49" fontId="34" fillId="0" borderId="0" xfId="0" applyNumberFormat="1" applyFont="1" applyAlignment="1">
      <alignment horizontal="center"/>
    </xf>
    <xf numFmtId="164" fontId="34" fillId="0" borderId="6" xfId="1" applyNumberFormat="1" applyFont="1" applyBorder="1"/>
    <xf numFmtId="164" fontId="36" fillId="0" borderId="6" xfId="1" applyNumberFormat="1" applyFont="1" applyBorder="1" applyAlignment="1"/>
    <xf numFmtId="164" fontId="37" fillId="0" borderId="6" xfId="1" applyNumberFormat="1" applyFont="1" applyBorder="1" applyAlignment="1"/>
    <xf numFmtId="166" fontId="34" fillId="0" borderId="16" xfId="0" applyNumberFormat="1" applyFont="1" applyBorder="1" applyAlignment="1">
      <alignment horizontal="left"/>
    </xf>
    <xf numFmtId="49" fontId="34" fillId="0" borderId="8" xfId="0" applyNumberFormat="1" applyFont="1" applyBorder="1" applyAlignment="1">
      <alignment horizontal="left"/>
    </xf>
    <xf numFmtId="0" fontId="9" fillId="0" borderId="8" xfId="0" applyFont="1" applyBorder="1"/>
    <xf numFmtId="49" fontId="34" fillId="0" borderId="8" xfId="0" applyNumberFormat="1" applyFont="1" applyBorder="1" applyAlignment="1">
      <alignment horizontal="center"/>
    </xf>
    <xf numFmtId="164" fontId="34" fillId="0" borderId="9" xfId="1" applyNumberFormat="1" applyFont="1" applyBorder="1"/>
    <xf numFmtId="166" fontId="27" fillId="0" borderId="17" xfId="0" applyNumberFormat="1" applyFont="1" applyBorder="1"/>
    <xf numFmtId="49" fontId="27" fillId="0" borderId="0" xfId="0" applyNumberFormat="1" applyFont="1"/>
    <xf numFmtId="0" fontId="27" fillId="0" borderId="3" xfId="0" applyFont="1" applyBorder="1"/>
    <xf numFmtId="166" fontId="14" fillId="0" borderId="15" xfId="0" applyNumberFormat="1" applyFont="1" applyBorder="1"/>
    <xf numFmtId="49" fontId="14" fillId="0" borderId="0" xfId="0" applyNumberFormat="1" applyFont="1"/>
    <xf numFmtId="166" fontId="34" fillId="0" borderId="0" xfId="0" applyNumberFormat="1" applyFont="1" applyAlignment="1">
      <alignment horizontal="left"/>
    </xf>
    <xf numFmtId="43" fontId="9" fillId="0" borderId="0" xfId="1" applyFont="1"/>
    <xf numFmtId="0" fontId="9" fillId="0" borderId="0" xfId="0" applyFont="1" applyAlignment="1">
      <alignment horizontal="center"/>
    </xf>
    <xf numFmtId="0" fontId="30" fillId="0" borderId="15" xfId="0" applyFont="1" applyBorder="1"/>
    <xf numFmtId="49" fontId="9" fillId="0" borderId="3" xfId="0" applyNumberFormat="1" applyFont="1" applyBorder="1" applyAlignment="1">
      <alignment horizontal="center"/>
    </xf>
    <xf numFmtId="164" fontId="9" fillId="0" borderId="4" xfId="1" applyNumberFormat="1" applyFont="1" applyBorder="1"/>
    <xf numFmtId="0" fontId="14" fillId="0" borderId="0" xfId="0" applyFont="1" applyBorder="1"/>
    <xf numFmtId="44" fontId="14" fillId="0" borderId="1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49" fontId="18" fillId="0" borderId="0" xfId="0" applyNumberFormat="1" applyFont="1" applyAlignment="1">
      <alignment horizontal="center"/>
    </xf>
    <xf numFmtId="44" fontId="14" fillId="0" borderId="11" xfId="0" applyNumberFormat="1" applyFont="1" applyBorder="1" applyAlignment="1">
      <alignment horizontal="center" vertical="center"/>
    </xf>
    <xf numFmtId="0" fontId="26" fillId="0" borderId="0" xfId="0" applyFont="1"/>
    <xf numFmtId="0" fontId="28" fillId="0" borderId="13" xfId="0" applyFont="1" applyBorder="1"/>
    <xf numFmtId="0" fontId="28" fillId="0" borderId="1" xfId="0" applyFont="1" applyBorder="1"/>
    <xf numFmtId="44" fontId="14" fillId="0" borderId="1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49" fontId="18" fillId="0" borderId="0" xfId="0" applyNumberFormat="1" applyFont="1" applyAlignment="1">
      <alignment horizontal="center"/>
    </xf>
    <xf numFmtId="0" fontId="2" fillId="0" borderId="0" xfId="0" applyFont="1" applyBorder="1"/>
    <xf numFmtId="0" fontId="18" fillId="0" borderId="0" xfId="0" applyFont="1" applyBorder="1"/>
    <xf numFmtId="0" fontId="26" fillId="0" borderId="15" xfId="0" applyFont="1" applyBorder="1"/>
    <xf numFmtId="0" fontId="26" fillId="0" borderId="0" xfId="0" applyFont="1" applyBorder="1"/>
    <xf numFmtId="0" fontId="8" fillId="0" borderId="0" xfId="0" applyFont="1" applyAlignment="1">
      <alignment horizontal="center"/>
    </xf>
    <xf numFmtId="44" fontId="14" fillId="0" borderId="11" xfId="0" applyNumberFormat="1" applyFont="1" applyBorder="1" applyAlignment="1">
      <alignment horizontal="center" vertical="center"/>
    </xf>
    <xf numFmtId="49" fontId="34" fillId="0" borderId="0" xfId="0" applyNumberFormat="1" applyFont="1" applyBorder="1" applyAlignment="1">
      <alignment horizontal="left"/>
    </xf>
    <xf numFmtId="44" fontId="14" fillId="0" borderId="11" xfId="0" applyNumberFormat="1" applyFont="1" applyBorder="1" applyAlignment="1">
      <alignment horizontal="center" vertical="center"/>
    </xf>
    <xf numFmtId="43" fontId="30" fillId="0" borderId="11" xfId="1" applyFont="1" applyBorder="1"/>
    <xf numFmtId="44" fontId="14" fillId="0" borderId="11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44" fontId="14" fillId="0" borderId="11" xfId="0" applyNumberFormat="1" applyFont="1" applyBorder="1" applyAlignment="1">
      <alignment horizontal="center" vertical="center"/>
    </xf>
    <xf numFmtId="0" fontId="34" fillId="0" borderId="15" xfId="0" applyFont="1" applyBorder="1"/>
    <xf numFmtId="43" fontId="2" fillId="0" borderId="11" xfId="1" applyFont="1" applyBorder="1" applyAlignment="1">
      <alignment horizontal="center" vertical="center" wrapText="1"/>
    </xf>
    <xf numFmtId="43" fontId="9" fillId="0" borderId="0" xfId="1" applyFont="1" applyBorder="1"/>
    <xf numFmtId="49" fontId="18" fillId="0" borderId="0" xfId="0" applyNumberFormat="1" applyFont="1" applyBorder="1" applyAlignment="1">
      <alignment horizontal="center"/>
    </xf>
    <xf numFmtId="164" fontId="9" fillId="0" borderId="0" xfId="1" applyNumberFormat="1" applyFont="1" applyBorder="1"/>
    <xf numFmtId="164" fontId="34" fillId="0" borderId="0" xfId="1" applyNumberFormat="1" applyFont="1" applyBorder="1"/>
    <xf numFmtId="164" fontId="36" fillId="0" borderId="0" xfId="1" applyNumberFormat="1" applyFont="1" applyBorder="1" applyAlignment="1"/>
    <xf numFmtId="164" fontId="37" fillId="0" borderId="0" xfId="1" applyNumberFormat="1" applyFont="1" applyBorder="1" applyAlignment="1"/>
    <xf numFmtId="43" fontId="9" fillId="0" borderId="3" xfId="1" applyFont="1" applyBorder="1"/>
    <xf numFmtId="164" fontId="9" fillId="0" borderId="3" xfId="1" applyNumberFormat="1" applyFont="1" applyBorder="1"/>
    <xf numFmtId="164" fontId="34" fillId="0" borderId="8" xfId="1" applyNumberFormat="1" applyFont="1" applyBorder="1"/>
    <xf numFmtId="0" fontId="41" fillId="0" borderId="0" xfId="0" applyFont="1"/>
    <xf numFmtId="166" fontId="34" fillId="0" borderId="7" xfId="0" applyNumberFormat="1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/>
    </xf>
    <xf numFmtId="49" fontId="34" fillId="0" borderId="7" xfId="0" applyNumberFormat="1" applyFont="1" applyBorder="1" applyAlignment="1">
      <alignment horizontal="center" vertical="center"/>
    </xf>
    <xf numFmtId="43" fontId="2" fillId="0" borderId="7" xfId="1" applyFont="1" applyBorder="1" applyAlignment="1">
      <alignment horizontal="center" vertical="center" wrapText="1"/>
    </xf>
    <xf numFmtId="43" fontId="2" fillId="0" borderId="13" xfId="1" applyFont="1" applyBorder="1" applyAlignment="1">
      <alignment horizontal="center" vertical="center" wrapText="1"/>
    </xf>
    <xf numFmtId="0" fontId="9" fillId="0" borderId="0" xfId="0" applyFont="1" applyBorder="1"/>
    <xf numFmtId="0" fontId="32" fillId="0" borderId="0" xfId="0" applyFont="1" applyAlignment="1"/>
    <xf numFmtId="0" fontId="24" fillId="0" borderId="8" xfId="0" applyFont="1" applyBorder="1" applyAlignment="1"/>
    <xf numFmtId="164" fontId="9" fillId="0" borderId="0" xfId="1" applyNumberFormat="1" applyFont="1" applyBorder="1" applyAlignment="1"/>
    <xf numFmtId="164" fontId="9" fillId="0" borderId="6" xfId="1" applyNumberFormat="1" applyFont="1" applyBorder="1" applyAlignment="1"/>
    <xf numFmtId="164" fontId="36" fillId="0" borderId="8" xfId="1" applyNumberFormat="1" applyFont="1" applyBorder="1" applyAlignment="1"/>
    <xf numFmtId="164" fontId="36" fillId="0" borderId="9" xfId="1" applyNumberFormat="1" applyFont="1" applyBorder="1" applyAlignment="1"/>
    <xf numFmtId="0" fontId="28" fillId="0" borderId="0" xfId="0" applyFont="1" applyBorder="1"/>
    <xf numFmtId="0" fontId="24" fillId="0" borderId="0" xfId="0" applyFont="1" applyBorder="1"/>
    <xf numFmtId="44" fontId="14" fillId="0" borderId="11" xfId="0" applyNumberFormat="1" applyFont="1" applyBorder="1" applyAlignment="1">
      <alignment horizontal="center" vertical="center"/>
    </xf>
    <xf numFmtId="44" fontId="14" fillId="0" borderId="1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49" fontId="18" fillId="0" borderId="0" xfId="0" applyNumberFormat="1" applyFont="1" applyAlignment="1">
      <alignment horizontal="center"/>
    </xf>
    <xf numFmtId="49" fontId="18" fillId="0" borderId="0" xfId="0" applyNumberFormat="1" applyFont="1" applyBorder="1" applyAlignment="1">
      <alignment horizontal="center"/>
    </xf>
    <xf numFmtId="0" fontId="27" fillId="0" borderId="15" xfId="0" applyFont="1" applyBorder="1"/>
    <xf numFmtId="164" fontId="28" fillId="0" borderId="6" xfId="1" applyNumberFormat="1" applyFont="1" applyBorder="1"/>
    <xf numFmtId="43" fontId="28" fillId="0" borderId="9" xfId="1" applyFont="1" applyBorder="1"/>
    <xf numFmtId="164" fontId="40" fillId="0" borderId="23" xfId="0" applyNumberFormat="1" applyFont="1" applyBorder="1"/>
    <xf numFmtId="44" fontId="14" fillId="0" borderId="11" xfId="0" applyNumberFormat="1" applyFont="1" applyBorder="1" applyAlignment="1">
      <alignment horizontal="center" vertical="center"/>
    </xf>
    <xf numFmtId="43" fontId="4" fillId="0" borderId="0" xfId="1" applyFont="1" applyAlignment="1">
      <alignment horizontal="center"/>
    </xf>
    <xf numFmtId="44" fontId="14" fillId="0" borderId="1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49" fontId="18" fillId="0" borderId="0" xfId="0" applyNumberFormat="1" applyFont="1" applyAlignment="1">
      <alignment horizontal="center"/>
    </xf>
    <xf numFmtId="43" fontId="28" fillId="0" borderId="6" xfId="1" applyFont="1" applyBorder="1"/>
    <xf numFmtId="164" fontId="40" fillId="0" borderId="6" xfId="0" applyNumberFormat="1" applyFont="1" applyBorder="1"/>
    <xf numFmtId="44" fontId="14" fillId="0" borderId="11" xfId="0" applyNumberFormat="1" applyFont="1" applyBorder="1" applyAlignment="1">
      <alignment horizontal="center" vertical="center"/>
    </xf>
    <xf numFmtId="0" fontId="45" fillId="0" borderId="15" xfId="0" applyFont="1" applyBorder="1"/>
    <xf numFmtId="43" fontId="24" fillId="0" borderId="9" xfId="1" applyFont="1" applyBorder="1"/>
    <xf numFmtId="0" fontId="45" fillId="0" borderId="0" xfId="0" applyFont="1" applyBorder="1"/>
    <xf numFmtId="0" fontId="43" fillId="0" borderId="0" xfId="0" applyFont="1" applyBorder="1"/>
    <xf numFmtId="164" fontId="28" fillId="0" borderId="0" xfId="1" applyNumberFormat="1" applyFont="1" applyBorder="1"/>
    <xf numFmtId="164" fontId="24" fillId="0" borderId="0" xfId="0" applyNumberFormat="1" applyFont="1" applyBorder="1"/>
    <xf numFmtId="43" fontId="24" fillId="0" borderId="0" xfId="1" applyFont="1" applyBorder="1"/>
    <xf numFmtId="164" fontId="27" fillId="0" borderId="0" xfId="0" applyNumberFormat="1" applyFont="1" applyBorder="1"/>
    <xf numFmtId="43" fontId="18" fillId="0" borderId="3" xfId="1" applyFont="1" applyBorder="1" applyAlignment="1">
      <alignment horizontal="center"/>
    </xf>
    <xf numFmtId="43" fontId="18" fillId="0" borderId="0" xfId="1" applyFont="1" applyAlignment="1">
      <alignment horizontal="center"/>
    </xf>
    <xf numFmtId="43" fontId="9" fillId="0" borderId="0" xfId="1" applyFont="1" applyAlignment="1">
      <alignment horizontal="center"/>
    </xf>
    <xf numFmtId="43" fontId="34" fillId="0" borderId="0" xfId="1" applyFont="1" applyAlignment="1">
      <alignment horizontal="center"/>
    </xf>
    <xf numFmtId="43" fontId="34" fillId="0" borderId="8" xfId="1" applyFont="1" applyBorder="1" applyAlignment="1">
      <alignment horizontal="center"/>
    </xf>
    <xf numFmtId="43" fontId="27" fillId="0" borderId="3" xfId="1" applyFont="1" applyBorder="1"/>
    <xf numFmtId="43" fontId="15" fillId="0" borderId="0" xfId="1" applyFont="1" applyAlignment="1">
      <alignment horizontal="center"/>
    </xf>
    <xf numFmtId="0" fontId="9" fillId="0" borderId="0" xfId="0" applyFont="1" applyAlignment="1">
      <alignment wrapText="1"/>
    </xf>
    <xf numFmtId="49" fontId="24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wrapText="1"/>
    </xf>
    <xf numFmtId="166" fontId="2" fillId="0" borderId="11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3" fontId="2" fillId="0" borderId="11" xfId="1" applyFont="1" applyBorder="1" applyAlignment="1">
      <alignment horizontal="center" vertical="center"/>
    </xf>
    <xf numFmtId="164" fontId="4" fillId="0" borderId="12" xfId="1" applyNumberFormat="1" applyFont="1" applyBorder="1" applyAlignment="1">
      <alignment horizontal="center"/>
    </xf>
    <xf numFmtId="43" fontId="4" fillId="0" borderId="0" xfId="1" applyFont="1" applyBorder="1" applyAlignment="1">
      <alignment horizontal="center"/>
    </xf>
    <xf numFmtId="164" fontId="9" fillId="0" borderId="3" xfId="1" applyNumberFormat="1" applyFont="1" applyBorder="1" applyAlignment="1">
      <alignment horizontal="right"/>
    </xf>
    <xf numFmtId="43" fontId="9" fillId="0" borderId="3" xfId="1" applyFont="1" applyBorder="1" applyAlignment="1">
      <alignment horizontal="right"/>
    </xf>
    <xf numFmtId="43" fontId="18" fillId="0" borderId="0" xfId="1" applyFont="1" applyAlignment="1">
      <alignment horizontal="right"/>
    </xf>
    <xf numFmtId="43" fontId="9" fillId="0" borderId="0" xfId="1" applyFont="1" applyAlignment="1">
      <alignment horizontal="right"/>
    </xf>
    <xf numFmtId="164" fontId="9" fillId="0" borderId="0" xfId="1" applyNumberFormat="1" applyFont="1" applyAlignment="1">
      <alignment horizontal="right"/>
    </xf>
    <xf numFmtId="164" fontId="34" fillId="0" borderId="0" xfId="1" applyNumberFormat="1" applyFont="1" applyBorder="1" applyAlignment="1">
      <alignment horizontal="right"/>
    </xf>
    <xf numFmtId="164" fontId="34" fillId="0" borderId="6" xfId="1" applyNumberFormat="1" applyFont="1" applyBorder="1" applyAlignment="1">
      <alignment horizontal="right"/>
    </xf>
    <xf numFmtId="44" fontId="14" fillId="0" borderId="1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49" fontId="18" fillId="0" borderId="0" xfId="0" applyNumberFormat="1" applyFont="1" applyAlignment="1">
      <alignment horizontal="center"/>
    </xf>
    <xf numFmtId="49" fontId="18" fillId="0" borderId="0" xfId="0" applyNumberFormat="1" applyFont="1" applyBorder="1" applyAlignment="1">
      <alignment horizontal="center"/>
    </xf>
    <xf numFmtId="44" fontId="14" fillId="0" borderId="11" xfId="0" applyNumberFormat="1" applyFont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/>
    </xf>
    <xf numFmtId="43" fontId="18" fillId="0" borderId="4" xfId="1" applyFont="1" applyBorder="1" applyAlignment="1">
      <alignment horizontal="center"/>
    </xf>
    <xf numFmtId="43" fontId="18" fillId="0" borderId="0" xfId="1" applyFont="1" applyBorder="1" applyAlignment="1">
      <alignment horizontal="center"/>
    </xf>
    <xf numFmtId="43" fontId="18" fillId="0" borderId="6" xfId="1" applyFont="1" applyBorder="1" applyAlignment="1">
      <alignment horizontal="center"/>
    </xf>
    <xf numFmtId="43" fontId="9" fillId="0" borderId="4" xfId="1" applyFont="1" applyBorder="1" applyAlignment="1">
      <alignment horizontal="right"/>
    </xf>
    <xf numFmtId="43" fontId="18" fillId="0" borderId="6" xfId="1" applyFont="1" applyBorder="1" applyAlignment="1">
      <alignment horizontal="right"/>
    </xf>
    <xf numFmtId="43" fontId="9" fillId="0" borderId="0" xfId="1" applyFont="1" applyBorder="1" applyAlignment="1">
      <alignment horizontal="center"/>
    </xf>
    <xf numFmtId="43" fontId="9" fillId="0" borderId="6" xfId="1" applyFont="1" applyBorder="1" applyAlignment="1">
      <alignment horizontal="right"/>
    </xf>
    <xf numFmtId="0" fontId="9" fillId="0" borderId="0" xfId="0" applyFont="1" applyBorder="1" applyAlignment="1">
      <alignment wrapText="1"/>
    </xf>
    <xf numFmtId="49" fontId="8" fillId="0" borderId="0" xfId="0" applyNumberFormat="1" applyFont="1" applyBorder="1" applyAlignment="1">
      <alignment horizontal="center"/>
    </xf>
    <xf numFmtId="164" fontId="9" fillId="0" borderId="6" xfId="1" applyNumberFormat="1" applyFont="1" applyBorder="1" applyAlignment="1">
      <alignment horizontal="right"/>
    </xf>
    <xf numFmtId="49" fontId="8" fillId="0" borderId="0" xfId="0" applyNumberFormat="1" applyFont="1" applyBorder="1" applyAlignment="1">
      <alignment horizontal="center" wrapText="1"/>
    </xf>
    <xf numFmtId="49" fontId="34" fillId="0" borderId="0" xfId="0" applyNumberFormat="1" applyFont="1" applyBorder="1" applyAlignment="1">
      <alignment horizontal="center"/>
    </xf>
    <xf numFmtId="43" fontId="34" fillId="0" borderId="0" xfId="1" applyFont="1" applyBorder="1" applyAlignment="1">
      <alignment horizontal="center"/>
    </xf>
    <xf numFmtId="43" fontId="34" fillId="0" borderId="6" xfId="1" applyFont="1" applyBorder="1" applyAlignment="1">
      <alignment horizontal="center"/>
    </xf>
    <xf numFmtId="43" fontId="34" fillId="0" borderId="9" xfId="1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43" fontId="4" fillId="0" borderId="6" xfId="1" applyFont="1" applyBorder="1" applyAlignment="1">
      <alignment horizontal="center"/>
    </xf>
    <xf numFmtId="43" fontId="27" fillId="0" borderId="4" xfId="1" applyFont="1" applyBorder="1"/>
    <xf numFmtId="43" fontId="14" fillId="0" borderId="6" xfId="1" applyFont="1" applyBorder="1"/>
    <xf numFmtId="0" fontId="8" fillId="0" borderId="0" xfId="0" applyFont="1" applyAlignment="1">
      <alignment horizontal="center"/>
    </xf>
    <xf numFmtId="44" fontId="14" fillId="0" borderId="11" xfId="0" applyNumberFormat="1" applyFont="1" applyBorder="1" applyAlignment="1">
      <alignment horizontal="center" vertical="center"/>
    </xf>
    <xf numFmtId="44" fontId="14" fillId="0" borderId="11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49" fontId="18" fillId="0" borderId="0" xfId="0" applyNumberFormat="1" applyFont="1" applyBorder="1" applyAlignment="1">
      <alignment horizontal="center"/>
    </xf>
    <xf numFmtId="0" fontId="16" fillId="0" borderId="15" xfId="0" applyFont="1" applyBorder="1"/>
    <xf numFmtId="0" fontId="27" fillId="0" borderId="4" xfId="0" applyFont="1" applyBorder="1" applyAlignment="1"/>
    <xf numFmtId="49" fontId="10" fillId="0" borderId="3" xfId="0" applyNumberFormat="1" applyFont="1" applyBorder="1" applyAlignment="1">
      <alignment horizontal="center"/>
    </xf>
    <xf numFmtId="0" fontId="9" fillId="0" borderId="17" xfId="0" applyFont="1" applyBorder="1"/>
    <xf numFmtId="0" fontId="9" fillId="0" borderId="15" xfId="0" applyFont="1" applyBorder="1"/>
    <xf numFmtId="0" fontId="10" fillId="0" borderId="15" xfId="0" applyFont="1" applyBorder="1"/>
    <xf numFmtId="0" fontId="10" fillId="0" borderId="0" xfId="0" applyFont="1" applyBorder="1" applyAlignment="1">
      <alignment horizontal="center" vertical="center"/>
    </xf>
    <xf numFmtId="164" fontId="10" fillId="0" borderId="4" xfId="1" applyNumberFormat="1" applyFont="1" applyBorder="1"/>
    <xf numFmtId="49" fontId="10" fillId="0" borderId="0" xfId="0" applyNumberFormat="1" applyFont="1" applyBorder="1" applyAlignment="1">
      <alignment horizontal="center"/>
    </xf>
    <xf numFmtId="43" fontId="10" fillId="0" borderId="6" xfId="1" applyFont="1" applyBorder="1"/>
    <xf numFmtId="0" fontId="10" fillId="0" borderId="0" xfId="0" applyFont="1" applyBorder="1"/>
    <xf numFmtId="43" fontId="10" fillId="0" borderId="9" xfId="1" applyFont="1" applyBorder="1"/>
    <xf numFmtId="0" fontId="9" fillId="0" borderId="16" xfId="0" applyFont="1" applyBorder="1"/>
    <xf numFmtId="164" fontId="4" fillId="0" borderId="23" xfId="1" applyNumberFormat="1" applyFont="1" applyBorder="1"/>
    <xf numFmtId="43" fontId="8" fillId="0" borderId="0" xfId="1" applyFont="1" applyBorder="1" applyAlignment="1">
      <alignment horizontal="center"/>
    </xf>
    <xf numFmtId="164" fontId="8" fillId="0" borderId="3" xfId="1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64" fontId="20" fillId="0" borderId="1" xfId="0" applyNumberFormat="1" applyFont="1" applyBorder="1" applyAlignment="1">
      <alignment horizontal="center"/>
    </xf>
    <xf numFmtId="164" fontId="20" fillId="0" borderId="14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5" fillId="0" borderId="0" xfId="0" applyFont="1" applyAlignment="1">
      <alignment horizontal="left"/>
    </xf>
    <xf numFmtId="43" fontId="23" fillId="0" borderId="0" xfId="1" applyFont="1" applyBorder="1" applyAlignment="1">
      <alignment horizontal="center" vertical="center"/>
    </xf>
    <xf numFmtId="164" fontId="2" fillId="0" borderId="8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43" fontId="4" fillId="0" borderId="0" xfId="1" applyFont="1" applyAlignment="1">
      <alignment horizontal="center"/>
    </xf>
    <xf numFmtId="43" fontId="4" fillId="0" borderId="13" xfId="1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43" fontId="4" fillId="0" borderId="14" xfId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6" xfId="0" applyFont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5" fillId="0" borderId="17" xfId="0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horizontal="center" vertical="center"/>
    </xf>
    <xf numFmtId="0" fontId="25" fillId="0" borderId="16" xfId="0" applyFont="1" applyFill="1" applyBorder="1" applyAlignment="1">
      <alignment horizontal="center" vertical="center"/>
    </xf>
    <xf numFmtId="0" fontId="25" fillId="0" borderId="8" xfId="0" applyFont="1" applyFill="1" applyBorder="1" applyAlignment="1">
      <alignment horizontal="center" vertical="center"/>
    </xf>
    <xf numFmtId="0" fontId="25" fillId="0" borderId="9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/>
    </xf>
    <xf numFmtId="0" fontId="26" fillId="0" borderId="13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43" fontId="30" fillId="0" borderId="11" xfId="0" applyNumberFormat="1" applyFont="1" applyBorder="1" applyAlignment="1">
      <alignment horizontal="center" vertical="center"/>
    </xf>
    <xf numFmtId="44" fontId="14" fillId="0" borderId="11" xfId="0" applyNumberFormat="1" applyFont="1" applyBorder="1" applyAlignment="1">
      <alignment horizontal="center" vertical="center"/>
    </xf>
    <xf numFmtId="44" fontId="14" fillId="0" borderId="11" xfId="0" applyNumberFormat="1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2" fillId="0" borderId="6" xfId="0" applyFont="1" applyBorder="1" applyAlignment="1">
      <alignment horizontal="center"/>
    </xf>
    <xf numFmtId="0" fontId="33" fillId="0" borderId="15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3" fillId="0" borderId="6" xfId="0" applyFont="1" applyBorder="1" applyAlignment="1">
      <alignment horizontal="center"/>
    </xf>
    <xf numFmtId="0" fontId="2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166" fontId="24" fillId="0" borderId="16" xfId="0" applyNumberFormat="1" applyFont="1" applyBorder="1" applyAlignment="1">
      <alignment horizontal="center"/>
    </xf>
    <xf numFmtId="166" fontId="24" fillId="0" borderId="8" xfId="0" applyNumberFormat="1" applyFont="1" applyBorder="1" applyAlignment="1">
      <alignment horizontal="center"/>
    </xf>
    <xf numFmtId="49" fontId="26" fillId="0" borderId="15" xfId="0" applyNumberFormat="1" applyFont="1" applyBorder="1" applyAlignment="1">
      <alignment horizontal="center"/>
    </xf>
    <xf numFmtId="49" fontId="26" fillId="0" borderId="0" xfId="0" applyNumberFormat="1" applyFont="1" applyAlignment="1">
      <alignment horizontal="center"/>
    </xf>
    <xf numFmtId="49" fontId="26" fillId="0" borderId="6" xfId="0" applyNumberFormat="1" applyFont="1" applyBorder="1" applyAlignment="1">
      <alignment horizontal="center"/>
    </xf>
    <xf numFmtId="49" fontId="18" fillId="0" borderId="15" xfId="0" applyNumberFormat="1" applyFont="1" applyBorder="1" applyAlignment="1">
      <alignment horizontal="center"/>
    </xf>
    <xf numFmtId="49" fontId="18" fillId="0" borderId="0" xfId="0" applyNumberFormat="1" applyFont="1" applyAlignment="1">
      <alignment horizontal="center"/>
    </xf>
    <xf numFmtId="49" fontId="18" fillId="0" borderId="6" xfId="0" applyNumberFormat="1" applyFont="1" applyBorder="1" applyAlignment="1">
      <alignment horizontal="center"/>
    </xf>
    <xf numFmtId="49" fontId="18" fillId="0" borderId="16" xfId="0" applyNumberFormat="1" applyFont="1" applyBorder="1" applyAlignment="1">
      <alignment horizontal="center"/>
    </xf>
    <xf numFmtId="49" fontId="18" fillId="0" borderId="8" xfId="0" applyNumberFormat="1" applyFont="1" applyBorder="1" applyAlignment="1">
      <alignment horizontal="center"/>
    </xf>
    <xf numFmtId="49" fontId="18" fillId="0" borderId="9" xfId="0" applyNumberFormat="1" applyFont="1" applyBorder="1" applyAlignment="1">
      <alignment horizontal="center"/>
    </xf>
    <xf numFmtId="43" fontId="35" fillId="0" borderId="17" xfId="1" applyFont="1" applyBorder="1" applyAlignment="1">
      <alignment horizontal="center" vertical="center"/>
    </xf>
    <xf numFmtId="43" fontId="35" fillId="0" borderId="3" xfId="1" applyFont="1" applyBorder="1" applyAlignment="1">
      <alignment horizontal="center" vertical="center"/>
    </xf>
    <xf numFmtId="43" fontId="35" fillId="0" borderId="4" xfId="1" applyFont="1" applyBorder="1" applyAlignment="1">
      <alignment horizontal="center" vertical="center"/>
    </xf>
    <xf numFmtId="43" fontId="35" fillId="0" borderId="16" xfId="1" applyFont="1" applyBorder="1" applyAlignment="1">
      <alignment horizontal="center" vertical="center"/>
    </xf>
    <xf numFmtId="43" fontId="35" fillId="0" borderId="8" xfId="1" applyFont="1" applyBorder="1" applyAlignment="1">
      <alignment horizontal="center" vertical="center"/>
    </xf>
    <xf numFmtId="43" fontId="35" fillId="0" borderId="9" xfId="1" applyFont="1" applyBorder="1" applyAlignment="1">
      <alignment horizontal="center" vertical="center"/>
    </xf>
    <xf numFmtId="166" fontId="31" fillId="0" borderId="15" xfId="0" applyNumberFormat="1" applyFont="1" applyBorder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18" fillId="0" borderId="14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/>
    </xf>
    <xf numFmtId="0" fontId="33" fillId="0" borderId="0" xfId="0" applyFont="1" applyBorder="1" applyAlignment="1">
      <alignment horizontal="center"/>
    </xf>
    <xf numFmtId="49" fontId="26" fillId="0" borderId="0" xfId="0" applyNumberFormat="1" applyFont="1" applyBorder="1" applyAlignment="1">
      <alignment horizontal="center"/>
    </xf>
    <xf numFmtId="49" fontId="18" fillId="0" borderId="0" xfId="0" applyNumberFormat="1" applyFont="1" applyBorder="1" applyAlignment="1">
      <alignment horizontal="center"/>
    </xf>
    <xf numFmtId="43" fontId="35" fillId="0" borderId="13" xfId="1" applyFont="1" applyBorder="1" applyAlignment="1">
      <alignment horizontal="center" vertical="center"/>
    </xf>
    <xf numFmtId="43" fontId="35" fillId="0" borderId="1" xfId="1" applyFont="1" applyBorder="1" applyAlignment="1">
      <alignment horizontal="center" vertical="center"/>
    </xf>
    <xf numFmtId="43" fontId="35" fillId="0" borderId="14" xfId="1" applyFont="1" applyBorder="1" applyAlignment="1">
      <alignment horizontal="center" vertical="center"/>
    </xf>
    <xf numFmtId="43" fontId="42" fillId="0" borderId="13" xfId="1" applyFont="1" applyBorder="1" applyAlignment="1">
      <alignment horizontal="center" vertical="center" wrapText="1"/>
    </xf>
    <xf numFmtId="43" fontId="42" fillId="0" borderId="1" xfId="1" applyFont="1" applyBorder="1" applyAlignment="1">
      <alignment horizontal="center" vertical="center" wrapText="1"/>
    </xf>
    <xf numFmtId="43" fontId="42" fillId="0" borderId="14" xfId="1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43" fontId="46" fillId="0" borderId="17" xfId="1" applyFont="1" applyBorder="1" applyAlignment="1">
      <alignment horizontal="center" vertical="center" wrapText="1"/>
    </xf>
    <xf numFmtId="43" fontId="35" fillId="0" borderId="3" xfId="1" applyFont="1" applyBorder="1" applyAlignment="1">
      <alignment horizontal="center" vertical="center" wrapText="1"/>
    </xf>
    <xf numFmtId="43" fontId="35" fillId="0" borderId="4" xfId="1" applyFont="1" applyBorder="1" applyAlignment="1">
      <alignment horizontal="center" vertical="center" wrapText="1"/>
    </xf>
    <xf numFmtId="43" fontId="35" fillId="0" borderId="16" xfId="1" applyFont="1" applyBorder="1" applyAlignment="1">
      <alignment horizontal="center" vertical="center" wrapText="1"/>
    </xf>
    <xf numFmtId="43" fontId="35" fillId="0" borderId="8" xfId="1" applyFont="1" applyBorder="1" applyAlignment="1">
      <alignment horizontal="center" vertical="center" wrapText="1"/>
    </xf>
    <xf numFmtId="43" fontId="35" fillId="0" borderId="9" xfId="1" applyFont="1" applyBorder="1" applyAlignment="1">
      <alignment horizontal="center" vertical="center" wrapText="1"/>
    </xf>
    <xf numFmtId="166" fontId="31" fillId="0" borderId="0" xfId="0" applyNumberFormat="1" applyFont="1" applyBorder="1" applyAlignment="1">
      <alignment horizontal="center" vertical="center"/>
    </xf>
    <xf numFmtId="43" fontId="30" fillId="0" borderId="13" xfId="0" applyNumberFormat="1" applyFont="1" applyBorder="1" applyAlignment="1">
      <alignment horizontal="center" vertical="center"/>
    </xf>
    <xf numFmtId="43" fontId="30" fillId="0" borderId="14" xfId="0" applyNumberFormat="1" applyFont="1" applyBorder="1" applyAlignment="1">
      <alignment horizontal="center" vertical="center"/>
    </xf>
    <xf numFmtId="43" fontId="47" fillId="0" borderId="13" xfId="1" applyFont="1" applyBorder="1" applyAlignment="1">
      <alignment horizontal="center" vertical="center" wrapText="1"/>
    </xf>
    <xf numFmtId="43" fontId="47" fillId="0" borderId="1" xfId="1" applyFont="1" applyBorder="1" applyAlignment="1">
      <alignment horizontal="center" vertical="center" wrapText="1"/>
    </xf>
    <xf numFmtId="43" fontId="47" fillId="0" borderId="14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checked="Checked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447674</xdr:colOff>
      <xdr:row>0</xdr:row>
      <xdr:rowOff>0</xdr:rowOff>
    </xdr:from>
    <xdr:to>
      <xdr:col>6</xdr:col>
      <xdr:colOff>47624</xdr:colOff>
      <xdr:row>4</xdr:row>
      <xdr:rowOff>85724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4" y="0"/>
          <a:ext cx="847725" cy="84772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161925</xdr:colOff>
          <xdr:row>8</xdr:row>
          <xdr:rowOff>180975</xdr:rowOff>
        </xdr:from>
        <xdr:to>
          <xdr:col>2</xdr:col>
          <xdr:colOff>400050</xdr:colOff>
          <xdr:row>9</xdr:row>
          <xdr:rowOff>361950</xdr:rowOff>
        </xdr:to>
        <xdr:sp macro="" textlink="">
          <xdr:nvSpPr>
            <xdr:cNvPr id="16388" name="Check Box 4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E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</xdr:row>
          <xdr:rowOff>180975</xdr:rowOff>
        </xdr:from>
        <xdr:to>
          <xdr:col>4</xdr:col>
          <xdr:colOff>466725</xdr:colOff>
          <xdr:row>9</xdr:row>
          <xdr:rowOff>361950</xdr:rowOff>
        </xdr:to>
        <xdr:sp macro="" textlink="">
          <xdr:nvSpPr>
            <xdr:cNvPr id="16389" name="Check Box 5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0E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447674</xdr:colOff>
      <xdr:row>0</xdr:row>
      <xdr:rowOff>0</xdr:rowOff>
    </xdr:from>
    <xdr:to>
      <xdr:col>6</xdr:col>
      <xdr:colOff>47624</xdr:colOff>
      <xdr:row>4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4" y="0"/>
          <a:ext cx="847725" cy="84772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152400</xdr:colOff>
          <xdr:row>8</xdr:row>
          <xdr:rowOff>95250</xdr:rowOff>
        </xdr:from>
        <xdr:to>
          <xdr:col>2</xdr:col>
          <xdr:colOff>390525</xdr:colOff>
          <xdr:row>10</xdr:row>
          <xdr:rowOff>85725</xdr:rowOff>
        </xdr:to>
        <xdr:sp macro="" textlink="">
          <xdr:nvSpPr>
            <xdr:cNvPr id="17409" name="Check Box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F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</xdr:row>
          <xdr:rowOff>95250</xdr:rowOff>
        </xdr:from>
        <xdr:to>
          <xdr:col>4</xdr:col>
          <xdr:colOff>466725</xdr:colOff>
          <xdr:row>10</xdr:row>
          <xdr:rowOff>85725</xdr:rowOff>
        </xdr:to>
        <xdr:sp macro="" textlink="">
          <xdr:nvSpPr>
            <xdr:cNvPr id="17410" name="Check Box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0F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447674</xdr:colOff>
      <xdr:row>0</xdr:row>
      <xdr:rowOff>0</xdr:rowOff>
    </xdr:from>
    <xdr:to>
      <xdr:col>6</xdr:col>
      <xdr:colOff>47624</xdr:colOff>
      <xdr:row>4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4" y="0"/>
          <a:ext cx="847725" cy="84772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152400</xdr:colOff>
          <xdr:row>7</xdr:row>
          <xdr:rowOff>180975</xdr:rowOff>
        </xdr:from>
        <xdr:to>
          <xdr:col>2</xdr:col>
          <xdr:colOff>390525</xdr:colOff>
          <xdr:row>10</xdr:row>
          <xdr:rowOff>190500</xdr:rowOff>
        </xdr:to>
        <xdr:sp macro="" textlink="">
          <xdr:nvSpPr>
            <xdr:cNvPr id="32769" name="Check Box 1" hidden="1">
              <a:extLst>
                <a:ext uri="{63B3BB69-23CF-44E3-9099-C40C66FF867C}">
                  <a14:compatExt spid="_x0000_s32769"/>
                </a:ext>
                <a:ext uri="{FF2B5EF4-FFF2-40B4-BE49-F238E27FC236}">
                  <a16:creationId xmlns:a16="http://schemas.microsoft.com/office/drawing/2014/main" id="{00000000-0008-0000-1000-000001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7</xdr:row>
          <xdr:rowOff>180975</xdr:rowOff>
        </xdr:from>
        <xdr:to>
          <xdr:col>4</xdr:col>
          <xdr:colOff>447675</xdr:colOff>
          <xdr:row>10</xdr:row>
          <xdr:rowOff>190500</xdr:rowOff>
        </xdr:to>
        <xdr:sp macro="" textlink="">
          <xdr:nvSpPr>
            <xdr:cNvPr id="32770" name="Check Box 2" hidden="1">
              <a:extLst>
                <a:ext uri="{63B3BB69-23CF-44E3-9099-C40C66FF867C}">
                  <a14:compatExt spid="_x0000_s32770"/>
                </a:ext>
                <a:ext uri="{FF2B5EF4-FFF2-40B4-BE49-F238E27FC236}">
                  <a16:creationId xmlns:a16="http://schemas.microsoft.com/office/drawing/2014/main" id="{00000000-0008-0000-1000-000002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152400</xdr:colOff>
          <xdr:row>7</xdr:row>
          <xdr:rowOff>66675</xdr:rowOff>
        </xdr:from>
        <xdr:to>
          <xdr:col>2</xdr:col>
          <xdr:colOff>390525</xdr:colOff>
          <xdr:row>11</xdr:row>
          <xdr:rowOff>95250</xdr:rowOff>
        </xdr:to>
        <xdr:sp macro="" textlink="">
          <xdr:nvSpPr>
            <xdr:cNvPr id="33793" name="Check Box 1" hidden="1">
              <a:extLst>
                <a:ext uri="{63B3BB69-23CF-44E3-9099-C40C66FF867C}">
                  <a14:compatExt spid="_x0000_s33793"/>
                </a:ext>
                <a:ext uri="{FF2B5EF4-FFF2-40B4-BE49-F238E27FC236}">
                  <a16:creationId xmlns:a16="http://schemas.microsoft.com/office/drawing/2014/main" id="{00000000-0008-0000-1100-000001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7</xdr:row>
          <xdr:rowOff>66675</xdr:rowOff>
        </xdr:from>
        <xdr:to>
          <xdr:col>4</xdr:col>
          <xdr:colOff>447675</xdr:colOff>
          <xdr:row>11</xdr:row>
          <xdr:rowOff>95250</xdr:rowOff>
        </xdr:to>
        <xdr:sp macro="" textlink="">
          <xdr:nvSpPr>
            <xdr:cNvPr id="33794" name="Check Box 2" hidden="1">
              <a:extLst>
                <a:ext uri="{63B3BB69-23CF-44E3-9099-C40C66FF867C}">
                  <a14:compatExt spid="_x0000_s33794"/>
                </a:ext>
                <a:ext uri="{FF2B5EF4-FFF2-40B4-BE49-F238E27FC236}">
                  <a16:creationId xmlns:a16="http://schemas.microsoft.com/office/drawing/2014/main" id="{00000000-0008-0000-1100-000002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142875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1295400</xdr:colOff>
      <xdr:row>0</xdr:row>
      <xdr:rowOff>0</xdr:rowOff>
    </xdr:from>
    <xdr:to>
      <xdr:col>2</xdr:col>
      <xdr:colOff>2162175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6550" y="0"/>
          <a:ext cx="866775" cy="8667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447674</xdr:colOff>
      <xdr:row>0</xdr:row>
      <xdr:rowOff>0</xdr:rowOff>
    </xdr:from>
    <xdr:to>
      <xdr:col>6</xdr:col>
      <xdr:colOff>47624</xdr:colOff>
      <xdr:row>4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4" y="0"/>
          <a:ext cx="847725" cy="84772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152400</xdr:colOff>
          <xdr:row>7</xdr:row>
          <xdr:rowOff>180975</xdr:rowOff>
        </xdr:from>
        <xdr:to>
          <xdr:col>2</xdr:col>
          <xdr:colOff>390525</xdr:colOff>
          <xdr:row>10</xdr:row>
          <xdr:rowOff>190500</xdr:rowOff>
        </xdr:to>
        <xdr:sp macro="" textlink="">
          <xdr:nvSpPr>
            <xdr:cNvPr id="35841" name="Check Box 1" hidden="1">
              <a:extLst>
                <a:ext uri="{63B3BB69-23CF-44E3-9099-C40C66FF867C}">
                  <a14:compatExt spid="_x0000_s35841"/>
                </a:ext>
                <a:ext uri="{FF2B5EF4-FFF2-40B4-BE49-F238E27FC236}">
                  <a16:creationId xmlns:a16="http://schemas.microsoft.com/office/drawing/2014/main" id="{00000000-0008-0000-1300-000001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7</xdr:row>
          <xdr:rowOff>180975</xdr:rowOff>
        </xdr:from>
        <xdr:to>
          <xdr:col>4</xdr:col>
          <xdr:colOff>447675</xdr:colOff>
          <xdr:row>10</xdr:row>
          <xdr:rowOff>190500</xdr:rowOff>
        </xdr:to>
        <xdr:sp macro="" textlink="">
          <xdr:nvSpPr>
            <xdr:cNvPr id="35842" name="Check Box 2" hidden="1">
              <a:extLst>
                <a:ext uri="{63B3BB69-23CF-44E3-9099-C40C66FF867C}">
                  <a14:compatExt spid="_x0000_s35842"/>
                </a:ext>
                <a:ext uri="{FF2B5EF4-FFF2-40B4-BE49-F238E27FC236}">
                  <a16:creationId xmlns:a16="http://schemas.microsoft.com/office/drawing/2014/main" id="{00000000-0008-0000-1300-000002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447674</xdr:colOff>
      <xdr:row>0</xdr:row>
      <xdr:rowOff>0</xdr:rowOff>
    </xdr:from>
    <xdr:to>
      <xdr:col>6</xdr:col>
      <xdr:colOff>47624</xdr:colOff>
      <xdr:row>4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4" y="0"/>
          <a:ext cx="847725" cy="84772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7</xdr:row>
          <xdr:rowOff>66675</xdr:rowOff>
        </xdr:from>
        <xdr:to>
          <xdr:col>2</xdr:col>
          <xdr:colOff>381000</xdr:colOff>
          <xdr:row>11</xdr:row>
          <xdr:rowOff>95250</xdr:rowOff>
        </xdr:to>
        <xdr:sp macro="" textlink="">
          <xdr:nvSpPr>
            <xdr:cNvPr id="36865" name="Check Box 1" hidden="1">
              <a:extLst>
                <a:ext uri="{63B3BB69-23CF-44E3-9099-C40C66FF867C}">
                  <a14:compatExt spid="_x0000_s36865"/>
                </a:ext>
                <a:ext uri="{FF2B5EF4-FFF2-40B4-BE49-F238E27FC236}">
                  <a16:creationId xmlns:a16="http://schemas.microsoft.com/office/drawing/2014/main" id="{00000000-0008-0000-1400-000001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7</xdr:row>
          <xdr:rowOff>66675</xdr:rowOff>
        </xdr:from>
        <xdr:to>
          <xdr:col>4</xdr:col>
          <xdr:colOff>466725</xdr:colOff>
          <xdr:row>11</xdr:row>
          <xdr:rowOff>95250</xdr:rowOff>
        </xdr:to>
        <xdr:sp macro="" textlink="">
          <xdr:nvSpPr>
            <xdr:cNvPr id="36866" name="Check Box 2" hidden="1">
              <a:extLst>
                <a:ext uri="{63B3BB69-23CF-44E3-9099-C40C66FF867C}">
                  <a14:compatExt spid="_x0000_s36866"/>
                </a:ext>
                <a:ext uri="{FF2B5EF4-FFF2-40B4-BE49-F238E27FC236}">
                  <a16:creationId xmlns:a16="http://schemas.microsoft.com/office/drawing/2014/main" id="{00000000-0008-0000-1400-000002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447674</xdr:colOff>
      <xdr:row>0</xdr:row>
      <xdr:rowOff>0</xdr:rowOff>
    </xdr:from>
    <xdr:to>
      <xdr:col>6</xdr:col>
      <xdr:colOff>47624</xdr:colOff>
      <xdr:row>4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4" y="0"/>
          <a:ext cx="847725" cy="84772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6</xdr:row>
          <xdr:rowOff>161925</xdr:rowOff>
        </xdr:from>
        <xdr:to>
          <xdr:col>2</xdr:col>
          <xdr:colOff>371475</xdr:colOff>
          <xdr:row>12</xdr:row>
          <xdr:rowOff>9525</xdr:rowOff>
        </xdr:to>
        <xdr:sp macro="" textlink="">
          <xdr:nvSpPr>
            <xdr:cNvPr id="52225" name="Check Box 1" hidden="1">
              <a:extLst>
                <a:ext uri="{63B3BB69-23CF-44E3-9099-C40C66FF867C}">
                  <a14:compatExt spid="_x0000_s52225"/>
                </a:ext>
                <a:ext uri="{FF2B5EF4-FFF2-40B4-BE49-F238E27FC236}">
                  <a16:creationId xmlns:a16="http://schemas.microsoft.com/office/drawing/2014/main" id="{00000000-0008-0000-1500-000001C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6</xdr:row>
          <xdr:rowOff>161925</xdr:rowOff>
        </xdr:from>
        <xdr:to>
          <xdr:col>4</xdr:col>
          <xdr:colOff>457200</xdr:colOff>
          <xdr:row>12</xdr:row>
          <xdr:rowOff>9525</xdr:rowOff>
        </xdr:to>
        <xdr:sp macro="" textlink="">
          <xdr:nvSpPr>
            <xdr:cNvPr id="52226" name="Check Box 2" hidden="1">
              <a:extLst>
                <a:ext uri="{63B3BB69-23CF-44E3-9099-C40C66FF867C}">
                  <a14:compatExt spid="_x0000_s52226"/>
                </a:ext>
                <a:ext uri="{FF2B5EF4-FFF2-40B4-BE49-F238E27FC236}">
                  <a16:creationId xmlns:a16="http://schemas.microsoft.com/office/drawing/2014/main" id="{00000000-0008-0000-1500-000002C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1990725</xdr:colOff>
      <xdr:row>0</xdr:row>
      <xdr:rowOff>0</xdr:rowOff>
    </xdr:from>
    <xdr:to>
      <xdr:col>2</xdr:col>
      <xdr:colOff>523875</xdr:colOff>
      <xdr:row>4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0"/>
          <a:ext cx="866775" cy="8667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447674</xdr:colOff>
      <xdr:row>0</xdr:row>
      <xdr:rowOff>0</xdr:rowOff>
    </xdr:from>
    <xdr:to>
      <xdr:col>6</xdr:col>
      <xdr:colOff>47624</xdr:colOff>
      <xdr:row>4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4" y="0"/>
          <a:ext cx="847725" cy="84772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6</xdr:row>
          <xdr:rowOff>38100</xdr:rowOff>
        </xdr:from>
        <xdr:to>
          <xdr:col>2</xdr:col>
          <xdr:colOff>371475</xdr:colOff>
          <xdr:row>12</xdr:row>
          <xdr:rowOff>123825</xdr:rowOff>
        </xdr:to>
        <xdr:sp macro="" textlink="">
          <xdr:nvSpPr>
            <xdr:cNvPr id="54273" name="Check Box 1" hidden="1">
              <a:extLst>
                <a:ext uri="{63B3BB69-23CF-44E3-9099-C40C66FF867C}">
                  <a14:compatExt spid="_x0000_s54273"/>
                </a:ext>
                <a:ext uri="{FF2B5EF4-FFF2-40B4-BE49-F238E27FC236}">
                  <a16:creationId xmlns:a16="http://schemas.microsoft.com/office/drawing/2014/main" id="{00000000-0008-0000-1700-000001D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219075</xdr:colOff>
          <xdr:row>6</xdr:row>
          <xdr:rowOff>28575</xdr:rowOff>
        </xdr:from>
        <xdr:to>
          <xdr:col>4</xdr:col>
          <xdr:colOff>457200</xdr:colOff>
          <xdr:row>12</xdr:row>
          <xdr:rowOff>114300</xdr:rowOff>
        </xdr:to>
        <xdr:sp macro="" textlink="">
          <xdr:nvSpPr>
            <xdr:cNvPr id="54274" name="Check Box 2" hidden="1">
              <a:extLst>
                <a:ext uri="{63B3BB69-23CF-44E3-9099-C40C66FF867C}">
                  <a14:compatExt spid="_x0000_s54274"/>
                </a:ext>
                <a:ext uri="{FF2B5EF4-FFF2-40B4-BE49-F238E27FC236}">
                  <a16:creationId xmlns:a16="http://schemas.microsoft.com/office/drawing/2014/main" id="{00000000-0008-0000-1700-000002D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447674</xdr:colOff>
      <xdr:row>0</xdr:row>
      <xdr:rowOff>0</xdr:rowOff>
    </xdr:from>
    <xdr:to>
      <xdr:col>6</xdr:col>
      <xdr:colOff>47624</xdr:colOff>
      <xdr:row>4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4" y="0"/>
          <a:ext cx="847725" cy="84772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142875</xdr:colOff>
          <xdr:row>6</xdr:row>
          <xdr:rowOff>38100</xdr:rowOff>
        </xdr:from>
        <xdr:to>
          <xdr:col>2</xdr:col>
          <xdr:colOff>381000</xdr:colOff>
          <xdr:row>12</xdr:row>
          <xdr:rowOff>123825</xdr:rowOff>
        </xdr:to>
        <xdr:sp macro="" textlink="">
          <xdr:nvSpPr>
            <xdr:cNvPr id="55297" name="Check Box 1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18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6</xdr:row>
          <xdr:rowOff>38100</xdr:rowOff>
        </xdr:from>
        <xdr:to>
          <xdr:col>4</xdr:col>
          <xdr:colOff>447675</xdr:colOff>
          <xdr:row>12</xdr:row>
          <xdr:rowOff>123825</xdr:rowOff>
        </xdr:to>
        <xdr:sp macro="" textlink="">
          <xdr:nvSpPr>
            <xdr:cNvPr id="55298" name="Check Box 2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18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447674</xdr:colOff>
      <xdr:row>0</xdr:row>
      <xdr:rowOff>0</xdr:rowOff>
    </xdr:from>
    <xdr:to>
      <xdr:col>6</xdr:col>
      <xdr:colOff>47624</xdr:colOff>
      <xdr:row>4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8874" y="0"/>
          <a:ext cx="847725" cy="84772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5</xdr:row>
          <xdr:rowOff>123825</xdr:rowOff>
        </xdr:from>
        <xdr:to>
          <xdr:col>2</xdr:col>
          <xdr:colOff>371475</xdr:colOff>
          <xdr:row>13</xdr:row>
          <xdr:rowOff>47625</xdr:rowOff>
        </xdr:to>
        <xdr:sp macro="" textlink="">
          <xdr:nvSpPr>
            <xdr:cNvPr id="56321" name="Check Box 1" hidden="1">
              <a:extLst>
                <a:ext uri="{63B3BB69-23CF-44E3-9099-C40C66FF867C}">
                  <a14:compatExt spid="_x0000_s56321"/>
                </a:ext>
                <a:ext uri="{FF2B5EF4-FFF2-40B4-BE49-F238E27FC236}">
                  <a16:creationId xmlns:a16="http://schemas.microsoft.com/office/drawing/2014/main" id="{00000000-0008-0000-1900-000001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5</xdr:row>
          <xdr:rowOff>114300</xdr:rowOff>
        </xdr:from>
        <xdr:to>
          <xdr:col>4</xdr:col>
          <xdr:colOff>447675</xdr:colOff>
          <xdr:row>13</xdr:row>
          <xdr:rowOff>38100</xdr:rowOff>
        </xdr:to>
        <xdr:sp macro="" textlink="">
          <xdr:nvSpPr>
            <xdr:cNvPr id="56322" name="Check Box 2" hidden="1">
              <a:extLst>
                <a:ext uri="{63B3BB69-23CF-44E3-9099-C40C66FF867C}">
                  <a14:compatExt spid="_x0000_s56322"/>
                </a:ext>
                <a:ext uri="{FF2B5EF4-FFF2-40B4-BE49-F238E27FC236}">
                  <a16:creationId xmlns:a16="http://schemas.microsoft.com/office/drawing/2014/main" id="{00000000-0008-0000-1900-000002D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6</xdr:row>
          <xdr:rowOff>152400</xdr:rowOff>
        </xdr:from>
        <xdr:to>
          <xdr:col>2</xdr:col>
          <xdr:colOff>371475</xdr:colOff>
          <xdr:row>12</xdr:row>
          <xdr:rowOff>0</xdr:rowOff>
        </xdr:to>
        <xdr:sp macro="" textlink="">
          <xdr:nvSpPr>
            <xdr:cNvPr id="71681" name="Check Box 1" hidden="1">
              <a:extLst>
                <a:ext uri="{63B3BB69-23CF-44E3-9099-C40C66FF867C}">
                  <a14:compatExt spid="_x0000_s71681"/>
                </a:ext>
                <a:ext uri="{FF2B5EF4-FFF2-40B4-BE49-F238E27FC236}">
                  <a16:creationId xmlns:a16="http://schemas.microsoft.com/office/drawing/2014/main" id="{00000000-0008-0000-1A00-000001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6</xdr:row>
          <xdr:rowOff>152400</xdr:rowOff>
        </xdr:from>
        <xdr:to>
          <xdr:col>4</xdr:col>
          <xdr:colOff>447675</xdr:colOff>
          <xdr:row>12</xdr:row>
          <xdr:rowOff>0</xdr:rowOff>
        </xdr:to>
        <xdr:sp macro="" textlink="">
          <xdr:nvSpPr>
            <xdr:cNvPr id="71682" name="Check Box 2" hidden="1">
              <a:extLst>
                <a:ext uri="{63B3BB69-23CF-44E3-9099-C40C66FF867C}">
                  <a14:compatExt spid="_x0000_s71682"/>
                </a:ext>
                <a:ext uri="{FF2B5EF4-FFF2-40B4-BE49-F238E27FC236}">
                  <a16:creationId xmlns:a16="http://schemas.microsoft.com/office/drawing/2014/main" id="{00000000-0008-0000-1A00-000002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142875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1295400</xdr:colOff>
      <xdr:row>0</xdr:row>
      <xdr:rowOff>0</xdr:rowOff>
    </xdr:from>
    <xdr:to>
      <xdr:col>2</xdr:col>
      <xdr:colOff>2162175</xdr:colOff>
      <xdr:row>4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6550" y="0"/>
          <a:ext cx="866775" cy="8667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6</xdr:row>
          <xdr:rowOff>38100</xdr:rowOff>
        </xdr:from>
        <xdr:to>
          <xdr:col>2</xdr:col>
          <xdr:colOff>371475</xdr:colOff>
          <xdr:row>12</xdr:row>
          <xdr:rowOff>123825</xdr:rowOff>
        </xdr:to>
        <xdr:sp macro="" textlink="">
          <xdr:nvSpPr>
            <xdr:cNvPr id="73729" name="Check Box 1" hidden="1">
              <a:extLst>
                <a:ext uri="{63B3BB69-23CF-44E3-9099-C40C66FF867C}">
                  <a14:compatExt spid="_x0000_s73729"/>
                </a:ext>
                <a:ext uri="{FF2B5EF4-FFF2-40B4-BE49-F238E27FC236}">
                  <a16:creationId xmlns:a16="http://schemas.microsoft.com/office/drawing/2014/main" id="{00000000-0008-0000-1C00-0000012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200025</xdr:colOff>
          <xdr:row>6</xdr:row>
          <xdr:rowOff>28575</xdr:rowOff>
        </xdr:from>
        <xdr:to>
          <xdr:col>4</xdr:col>
          <xdr:colOff>438150</xdr:colOff>
          <xdr:row>12</xdr:row>
          <xdr:rowOff>114300</xdr:rowOff>
        </xdr:to>
        <xdr:sp macro="" textlink="">
          <xdr:nvSpPr>
            <xdr:cNvPr id="73730" name="Check Box 2" hidden="1">
              <a:extLst>
                <a:ext uri="{63B3BB69-23CF-44E3-9099-C40C66FF867C}">
                  <a14:compatExt spid="_x0000_s73730"/>
                </a:ext>
                <a:ext uri="{FF2B5EF4-FFF2-40B4-BE49-F238E27FC236}">
                  <a16:creationId xmlns:a16="http://schemas.microsoft.com/office/drawing/2014/main" id="{00000000-0008-0000-1C00-0000022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142875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6</xdr:row>
          <xdr:rowOff>38100</xdr:rowOff>
        </xdr:from>
        <xdr:to>
          <xdr:col>2</xdr:col>
          <xdr:colOff>371475</xdr:colOff>
          <xdr:row>12</xdr:row>
          <xdr:rowOff>123825</xdr:rowOff>
        </xdr:to>
        <xdr:sp macro="" textlink="">
          <xdr:nvSpPr>
            <xdr:cNvPr id="74753" name="Check Box 1" hidden="1">
              <a:extLst>
                <a:ext uri="{63B3BB69-23CF-44E3-9099-C40C66FF867C}">
                  <a14:compatExt spid="_x0000_s74753"/>
                </a:ext>
                <a:ext uri="{FF2B5EF4-FFF2-40B4-BE49-F238E27FC236}">
                  <a16:creationId xmlns:a16="http://schemas.microsoft.com/office/drawing/2014/main" id="{00000000-0008-0000-1D00-0000012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200025</xdr:colOff>
          <xdr:row>6</xdr:row>
          <xdr:rowOff>38100</xdr:rowOff>
        </xdr:from>
        <xdr:to>
          <xdr:col>4</xdr:col>
          <xdr:colOff>438150</xdr:colOff>
          <xdr:row>12</xdr:row>
          <xdr:rowOff>123825</xdr:rowOff>
        </xdr:to>
        <xdr:sp macro="" textlink="">
          <xdr:nvSpPr>
            <xdr:cNvPr id="74754" name="Check Box 2" hidden="1">
              <a:extLst>
                <a:ext uri="{63B3BB69-23CF-44E3-9099-C40C66FF867C}">
                  <a14:compatExt spid="_x0000_s74754"/>
                </a:ext>
                <a:ext uri="{FF2B5EF4-FFF2-40B4-BE49-F238E27FC236}">
                  <a16:creationId xmlns:a16="http://schemas.microsoft.com/office/drawing/2014/main" id="{00000000-0008-0000-1D00-0000022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114300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123825</xdr:colOff>
          <xdr:row>5</xdr:row>
          <xdr:rowOff>123825</xdr:rowOff>
        </xdr:from>
        <xdr:to>
          <xdr:col>2</xdr:col>
          <xdr:colOff>361950</xdr:colOff>
          <xdr:row>13</xdr:row>
          <xdr:rowOff>47625</xdr:rowOff>
        </xdr:to>
        <xdr:sp macro="" textlink="">
          <xdr:nvSpPr>
            <xdr:cNvPr id="92161" name="Check Box 1" hidden="1">
              <a:extLst>
                <a:ext uri="{63B3BB69-23CF-44E3-9099-C40C66FF867C}">
                  <a14:compatExt spid="_x0000_s92161"/>
                </a:ext>
                <a:ext uri="{FF2B5EF4-FFF2-40B4-BE49-F238E27FC236}">
                  <a16:creationId xmlns:a16="http://schemas.microsoft.com/office/drawing/2014/main" id="{00000000-0008-0000-1F00-0000016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5</xdr:row>
          <xdr:rowOff>114300</xdr:rowOff>
        </xdr:from>
        <xdr:to>
          <xdr:col>4</xdr:col>
          <xdr:colOff>447675</xdr:colOff>
          <xdr:row>13</xdr:row>
          <xdr:rowOff>38100</xdr:rowOff>
        </xdr:to>
        <xdr:sp macro="" textlink="">
          <xdr:nvSpPr>
            <xdr:cNvPr id="92162" name="Check Box 2" hidden="1">
              <a:extLst>
                <a:ext uri="{63B3BB69-23CF-44E3-9099-C40C66FF867C}">
                  <a14:compatExt spid="_x0000_s92162"/>
                </a:ext>
                <a:ext uri="{FF2B5EF4-FFF2-40B4-BE49-F238E27FC236}">
                  <a16:creationId xmlns:a16="http://schemas.microsoft.com/office/drawing/2014/main" id="{00000000-0008-0000-1F00-0000026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114300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5</xdr:row>
          <xdr:rowOff>0</xdr:rowOff>
        </xdr:from>
        <xdr:to>
          <xdr:col>2</xdr:col>
          <xdr:colOff>342900</xdr:colOff>
          <xdr:row>13</xdr:row>
          <xdr:rowOff>171450</xdr:rowOff>
        </xdr:to>
        <xdr:sp macro="" textlink="">
          <xdr:nvSpPr>
            <xdr:cNvPr id="111617" name="Check Box 1" hidden="1">
              <a:extLst>
                <a:ext uri="{63B3BB69-23CF-44E3-9099-C40C66FF867C}">
                  <a14:compatExt spid="_x0000_s111617"/>
                </a:ext>
                <a:ext uri="{FF2B5EF4-FFF2-40B4-BE49-F238E27FC236}">
                  <a16:creationId xmlns:a16="http://schemas.microsoft.com/office/drawing/2014/main" id="{00000000-0008-0000-2000-000001B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428625</xdr:colOff>
          <xdr:row>5</xdr:row>
          <xdr:rowOff>0</xdr:rowOff>
        </xdr:from>
        <xdr:to>
          <xdr:col>4</xdr:col>
          <xdr:colOff>123825</xdr:colOff>
          <xdr:row>13</xdr:row>
          <xdr:rowOff>171450</xdr:rowOff>
        </xdr:to>
        <xdr:sp macro="" textlink="">
          <xdr:nvSpPr>
            <xdr:cNvPr id="111618" name="Check Box 2" hidden="1">
              <a:extLst>
                <a:ext uri="{63B3BB69-23CF-44E3-9099-C40C66FF867C}">
                  <a14:compatExt spid="_x0000_s111618"/>
                </a:ext>
                <a:ext uri="{FF2B5EF4-FFF2-40B4-BE49-F238E27FC236}">
                  <a16:creationId xmlns:a16="http://schemas.microsoft.com/office/drawing/2014/main" id="{00000000-0008-0000-2000-000002B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28575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123825</xdr:colOff>
          <xdr:row>5</xdr:row>
          <xdr:rowOff>0</xdr:rowOff>
        </xdr:from>
        <xdr:to>
          <xdr:col>2</xdr:col>
          <xdr:colOff>361950</xdr:colOff>
          <xdr:row>13</xdr:row>
          <xdr:rowOff>171450</xdr:rowOff>
        </xdr:to>
        <xdr:sp macro="" textlink="">
          <xdr:nvSpPr>
            <xdr:cNvPr id="93185" name="Check Box 1" hidden="1">
              <a:extLst>
                <a:ext uri="{63B3BB69-23CF-44E3-9099-C40C66FF867C}">
                  <a14:compatExt spid="_x0000_s93185"/>
                </a:ext>
                <a:ext uri="{FF2B5EF4-FFF2-40B4-BE49-F238E27FC236}">
                  <a16:creationId xmlns:a16="http://schemas.microsoft.com/office/drawing/2014/main" id="{00000000-0008-0000-2100-0000016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200025</xdr:colOff>
          <xdr:row>5</xdr:row>
          <xdr:rowOff>0</xdr:rowOff>
        </xdr:from>
        <xdr:to>
          <xdr:col>4</xdr:col>
          <xdr:colOff>438150</xdr:colOff>
          <xdr:row>13</xdr:row>
          <xdr:rowOff>171450</xdr:rowOff>
        </xdr:to>
        <xdr:sp macro="" textlink="">
          <xdr:nvSpPr>
            <xdr:cNvPr id="93186" name="Check Box 2" hidden="1">
              <a:extLst>
                <a:ext uri="{63B3BB69-23CF-44E3-9099-C40C66FF867C}">
                  <a14:compatExt spid="_x0000_s93186"/>
                </a:ext>
                <a:ext uri="{FF2B5EF4-FFF2-40B4-BE49-F238E27FC236}">
                  <a16:creationId xmlns:a16="http://schemas.microsoft.com/office/drawing/2014/main" id="{00000000-0008-0000-2100-0000026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114300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2266950</xdr:colOff>
      <xdr:row>0</xdr:row>
      <xdr:rowOff>0</xdr:rowOff>
    </xdr:from>
    <xdr:to>
      <xdr:col>2</xdr:col>
      <xdr:colOff>666750</xdr:colOff>
      <xdr:row>4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150" y="0"/>
          <a:ext cx="866775" cy="8667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123825</xdr:colOff>
          <xdr:row>4</xdr:row>
          <xdr:rowOff>76200</xdr:rowOff>
        </xdr:from>
        <xdr:to>
          <xdr:col>2</xdr:col>
          <xdr:colOff>361950</xdr:colOff>
          <xdr:row>14</xdr:row>
          <xdr:rowOff>104775</xdr:rowOff>
        </xdr:to>
        <xdr:sp macro="" textlink="">
          <xdr:nvSpPr>
            <xdr:cNvPr id="130049" name="Check Box 1" hidden="1">
              <a:extLst>
                <a:ext uri="{63B3BB69-23CF-44E3-9099-C40C66FF867C}">
                  <a14:compatExt spid="_x0000_s130049"/>
                </a:ext>
                <a:ext uri="{FF2B5EF4-FFF2-40B4-BE49-F238E27FC236}">
                  <a16:creationId xmlns:a16="http://schemas.microsoft.com/office/drawing/2014/main" id="{00000000-0008-0000-2300-000001F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200025</xdr:colOff>
          <xdr:row>4</xdr:row>
          <xdr:rowOff>66675</xdr:rowOff>
        </xdr:from>
        <xdr:to>
          <xdr:col>4</xdr:col>
          <xdr:colOff>438150</xdr:colOff>
          <xdr:row>14</xdr:row>
          <xdr:rowOff>95250</xdr:rowOff>
        </xdr:to>
        <xdr:sp macro="" textlink="">
          <xdr:nvSpPr>
            <xdr:cNvPr id="130050" name="Check Box 2" hidden="1">
              <a:extLst>
                <a:ext uri="{63B3BB69-23CF-44E3-9099-C40C66FF867C}">
                  <a14:compatExt spid="_x0000_s130050"/>
                </a:ext>
                <a:ext uri="{FF2B5EF4-FFF2-40B4-BE49-F238E27FC236}">
                  <a16:creationId xmlns:a16="http://schemas.microsoft.com/office/drawing/2014/main" id="{00000000-0008-0000-2300-000002F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114300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4</xdr:row>
          <xdr:rowOff>66675</xdr:rowOff>
        </xdr:from>
        <xdr:to>
          <xdr:col>2</xdr:col>
          <xdr:colOff>342900</xdr:colOff>
          <xdr:row>14</xdr:row>
          <xdr:rowOff>95250</xdr:rowOff>
        </xdr:to>
        <xdr:sp macro="" textlink="">
          <xdr:nvSpPr>
            <xdr:cNvPr id="131073" name="Check Box 1" hidden="1">
              <a:extLst>
                <a:ext uri="{63B3BB69-23CF-44E3-9099-C40C66FF867C}">
                  <a14:compatExt spid="_x0000_s131073"/>
                </a:ext>
                <a:ext uri="{FF2B5EF4-FFF2-40B4-BE49-F238E27FC236}">
                  <a16:creationId xmlns:a16="http://schemas.microsoft.com/office/drawing/2014/main" id="{00000000-0008-0000-2400-0000010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428625</xdr:colOff>
          <xdr:row>4</xdr:row>
          <xdr:rowOff>76200</xdr:rowOff>
        </xdr:from>
        <xdr:to>
          <xdr:col>4</xdr:col>
          <xdr:colOff>123825</xdr:colOff>
          <xdr:row>14</xdr:row>
          <xdr:rowOff>104775</xdr:rowOff>
        </xdr:to>
        <xdr:sp macro="" textlink="">
          <xdr:nvSpPr>
            <xdr:cNvPr id="131074" name="Check Box 2" hidden="1">
              <a:extLst>
                <a:ext uri="{63B3BB69-23CF-44E3-9099-C40C66FF867C}">
                  <a14:compatExt spid="_x0000_s131074"/>
                </a:ext>
                <a:ext uri="{FF2B5EF4-FFF2-40B4-BE49-F238E27FC236}">
                  <a16:creationId xmlns:a16="http://schemas.microsoft.com/office/drawing/2014/main" id="{00000000-0008-0000-2400-0000020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28575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190500</xdr:rowOff>
        </xdr:from>
        <xdr:to>
          <xdr:col>2</xdr:col>
          <xdr:colOff>352425</xdr:colOff>
          <xdr:row>13</xdr:row>
          <xdr:rowOff>161925</xdr:rowOff>
        </xdr:to>
        <xdr:sp macro="" textlink="">
          <xdr:nvSpPr>
            <xdr:cNvPr id="132097" name="Check Box 1" hidden="1">
              <a:extLst>
                <a:ext uri="{63B3BB69-23CF-44E3-9099-C40C66FF867C}">
                  <a14:compatExt spid="_x0000_s132097"/>
                </a:ext>
                <a:ext uri="{FF2B5EF4-FFF2-40B4-BE49-F238E27FC236}">
                  <a16:creationId xmlns:a16="http://schemas.microsoft.com/office/drawing/2014/main" id="{00000000-0008-0000-2500-0000010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5</xdr:row>
          <xdr:rowOff>0</xdr:rowOff>
        </xdr:from>
        <xdr:to>
          <xdr:col>4</xdr:col>
          <xdr:colOff>447675</xdr:colOff>
          <xdr:row>13</xdr:row>
          <xdr:rowOff>171450</xdr:rowOff>
        </xdr:to>
        <xdr:sp macro="" textlink="">
          <xdr:nvSpPr>
            <xdr:cNvPr id="132098" name="Check Box 2" hidden="1">
              <a:extLst>
                <a:ext uri="{63B3BB69-23CF-44E3-9099-C40C66FF867C}">
                  <a14:compatExt spid="_x0000_s132098"/>
                </a:ext>
                <a:ext uri="{FF2B5EF4-FFF2-40B4-BE49-F238E27FC236}">
                  <a16:creationId xmlns:a16="http://schemas.microsoft.com/office/drawing/2014/main" id="{00000000-0008-0000-2500-0000020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114300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</xdr:row>
          <xdr:rowOff>57150</xdr:rowOff>
        </xdr:from>
        <xdr:to>
          <xdr:col>2</xdr:col>
          <xdr:colOff>352425</xdr:colOff>
          <xdr:row>14</xdr:row>
          <xdr:rowOff>95250</xdr:rowOff>
        </xdr:to>
        <xdr:sp macro="" textlink="">
          <xdr:nvSpPr>
            <xdr:cNvPr id="148481" name="Check Box 1" hidden="1">
              <a:extLst>
                <a:ext uri="{63B3BB69-23CF-44E3-9099-C40C66FF867C}">
                  <a14:compatExt spid="_x0000_s148481"/>
                </a:ext>
                <a:ext uri="{FF2B5EF4-FFF2-40B4-BE49-F238E27FC236}">
                  <a16:creationId xmlns:a16="http://schemas.microsoft.com/office/drawing/2014/main" id="{00000000-0008-0000-2600-0000014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4</xdr:row>
          <xdr:rowOff>57150</xdr:rowOff>
        </xdr:from>
        <xdr:to>
          <xdr:col>4</xdr:col>
          <xdr:colOff>447675</xdr:colOff>
          <xdr:row>14</xdr:row>
          <xdr:rowOff>85725</xdr:rowOff>
        </xdr:to>
        <xdr:sp macro="" textlink="">
          <xdr:nvSpPr>
            <xdr:cNvPr id="148482" name="Check Box 2" hidden="1">
              <a:extLst>
                <a:ext uri="{63B3BB69-23CF-44E3-9099-C40C66FF867C}">
                  <a14:compatExt spid="_x0000_s148482"/>
                </a:ext>
                <a:ext uri="{FF2B5EF4-FFF2-40B4-BE49-F238E27FC236}">
                  <a16:creationId xmlns:a16="http://schemas.microsoft.com/office/drawing/2014/main" id="{00000000-0008-0000-2600-0000024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114300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4</xdr:row>
          <xdr:rowOff>76200</xdr:rowOff>
        </xdr:from>
        <xdr:to>
          <xdr:col>2</xdr:col>
          <xdr:colOff>371475</xdr:colOff>
          <xdr:row>14</xdr:row>
          <xdr:rowOff>104775</xdr:rowOff>
        </xdr:to>
        <xdr:sp macro="" textlink="">
          <xdr:nvSpPr>
            <xdr:cNvPr id="150529" name="Check Box 1" hidden="1">
              <a:extLst>
                <a:ext uri="{63B3BB69-23CF-44E3-9099-C40C66FF867C}">
                  <a14:compatExt spid="_x0000_s150529"/>
                </a:ext>
                <a:ext uri="{FF2B5EF4-FFF2-40B4-BE49-F238E27FC236}">
                  <a16:creationId xmlns:a16="http://schemas.microsoft.com/office/drawing/2014/main" id="{00000000-0008-0000-2700-0000014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4</xdr:row>
          <xdr:rowOff>66675</xdr:rowOff>
        </xdr:from>
        <xdr:to>
          <xdr:col>4</xdr:col>
          <xdr:colOff>447675</xdr:colOff>
          <xdr:row>14</xdr:row>
          <xdr:rowOff>95250</xdr:rowOff>
        </xdr:to>
        <xdr:sp macro="" textlink="">
          <xdr:nvSpPr>
            <xdr:cNvPr id="150530" name="Check Box 2" hidden="1">
              <a:extLst>
                <a:ext uri="{63B3BB69-23CF-44E3-9099-C40C66FF867C}">
                  <a14:compatExt spid="_x0000_s150530"/>
                </a:ext>
                <a:ext uri="{FF2B5EF4-FFF2-40B4-BE49-F238E27FC236}">
                  <a16:creationId xmlns:a16="http://schemas.microsoft.com/office/drawing/2014/main" id="{00000000-0008-0000-2700-0000024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114300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2276475</xdr:colOff>
      <xdr:row>0</xdr:row>
      <xdr:rowOff>0</xdr:rowOff>
    </xdr:from>
    <xdr:to>
      <xdr:col>2</xdr:col>
      <xdr:colOff>676275</xdr:colOff>
      <xdr:row>4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4675" y="0"/>
          <a:ext cx="866775" cy="86677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123825</xdr:rowOff>
        </xdr:from>
        <xdr:to>
          <xdr:col>2</xdr:col>
          <xdr:colOff>352425</xdr:colOff>
          <xdr:row>15</xdr:row>
          <xdr:rowOff>38100</xdr:rowOff>
        </xdr:to>
        <xdr:sp macro="" textlink="">
          <xdr:nvSpPr>
            <xdr:cNvPr id="149505" name="Check Box 1" hidden="1">
              <a:extLst>
                <a:ext uri="{63B3BB69-23CF-44E3-9099-C40C66FF867C}">
                  <a14:compatExt spid="_x0000_s149505"/>
                </a:ext>
                <a:ext uri="{FF2B5EF4-FFF2-40B4-BE49-F238E27FC236}">
                  <a16:creationId xmlns:a16="http://schemas.microsoft.com/office/drawing/2014/main" id="{00000000-0008-0000-2900-0000014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200025</xdr:colOff>
          <xdr:row>3</xdr:row>
          <xdr:rowOff>133350</xdr:rowOff>
        </xdr:from>
        <xdr:to>
          <xdr:col>4</xdr:col>
          <xdr:colOff>438150</xdr:colOff>
          <xdr:row>15</xdr:row>
          <xdr:rowOff>38100</xdr:rowOff>
        </xdr:to>
        <xdr:sp macro="" textlink="">
          <xdr:nvSpPr>
            <xdr:cNvPr id="149506" name="Check Box 2" hidden="1">
              <a:extLst>
                <a:ext uri="{63B3BB69-23CF-44E3-9099-C40C66FF867C}">
                  <a14:compatExt spid="_x0000_s149506"/>
                </a:ext>
                <a:ext uri="{FF2B5EF4-FFF2-40B4-BE49-F238E27FC236}">
                  <a16:creationId xmlns:a16="http://schemas.microsoft.com/office/drawing/2014/main" id="{00000000-0008-0000-2900-0000024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114300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123825</xdr:colOff>
          <xdr:row>2</xdr:row>
          <xdr:rowOff>180975</xdr:rowOff>
        </xdr:from>
        <xdr:to>
          <xdr:col>2</xdr:col>
          <xdr:colOff>361950</xdr:colOff>
          <xdr:row>15</xdr:row>
          <xdr:rowOff>161925</xdr:rowOff>
        </xdr:to>
        <xdr:sp macro="" textlink="">
          <xdr:nvSpPr>
            <xdr:cNvPr id="168961" name="Check Box 1" hidden="1">
              <a:extLst>
                <a:ext uri="{63B3BB69-23CF-44E3-9099-C40C66FF867C}">
                  <a14:compatExt spid="_x0000_s168961"/>
                </a:ext>
                <a:ext uri="{FF2B5EF4-FFF2-40B4-BE49-F238E27FC236}">
                  <a16:creationId xmlns:a16="http://schemas.microsoft.com/office/drawing/2014/main" id="{00000000-0008-0000-2A00-0000019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3</xdr:row>
          <xdr:rowOff>0</xdr:rowOff>
        </xdr:from>
        <xdr:to>
          <xdr:col>4</xdr:col>
          <xdr:colOff>447675</xdr:colOff>
          <xdr:row>15</xdr:row>
          <xdr:rowOff>161925</xdr:rowOff>
        </xdr:to>
        <xdr:sp macro="" textlink="">
          <xdr:nvSpPr>
            <xdr:cNvPr id="168962" name="Check Box 2" hidden="1">
              <a:extLst>
                <a:ext uri="{63B3BB69-23CF-44E3-9099-C40C66FF867C}">
                  <a14:compatExt spid="_x0000_s168962"/>
                </a:ext>
                <a:ext uri="{FF2B5EF4-FFF2-40B4-BE49-F238E27FC236}">
                  <a16:creationId xmlns:a16="http://schemas.microsoft.com/office/drawing/2014/main" id="{00000000-0008-0000-2A00-0000029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114300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123825</xdr:colOff>
          <xdr:row>2</xdr:row>
          <xdr:rowOff>57150</xdr:rowOff>
        </xdr:from>
        <xdr:to>
          <xdr:col>2</xdr:col>
          <xdr:colOff>361950</xdr:colOff>
          <xdr:row>16</xdr:row>
          <xdr:rowOff>114300</xdr:rowOff>
        </xdr:to>
        <xdr:sp macro="" textlink="">
          <xdr:nvSpPr>
            <xdr:cNvPr id="169985" name="Check Box 1" hidden="1">
              <a:extLst>
                <a:ext uri="{63B3BB69-23CF-44E3-9099-C40C66FF867C}">
                  <a14:compatExt spid="_x0000_s169985"/>
                </a:ext>
                <a:ext uri="{FF2B5EF4-FFF2-40B4-BE49-F238E27FC236}">
                  <a16:creationId xmlns:a16="http://schemas.microsoft.com/office/drawing/2014/main" id="{00000000-0008-0000-2B00-0000019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2</xdr:row>
          <xdr:rowOff>66675</xdr:rowOff>
        </xdr:from>
        <xdr:to>
          <xdr:col>4</xdr:col>
          <xdr:colOff>447675</xdr:colOff>
          <xdr:row>16</xdr:row>
          <xdr:rowOff>114300</xdr:rowOff>
        </xdr:to>
        <xdr:sp macro="" textlink="">
          <xdr:nvSpPr>
            <xdr:cNvPr id="169986" name="Check Box 2" hidden="1">
              <a:extLst>
                <a:ext uri="{63B3BB69-23CF-44E3-9099-C40C66FF867C}">
                  <a14:compatExt spid="_x0000_s169986"/>
                </a:ext>
                <a:ext uri="{FF2B5EF4-FFF2-40B4-BE49-F238E27FC236}">
                  <a16:creationId xmlns:a16="http://schemas.microsoft.com/office/drawing/2014/main" id="{00000000-0008-0000-2B00-0000029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95250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6</xdr:row>
          <xdr:rowOff>152400</xdr:rowOff>
        </xdr:from>
        <xdr:to>
          <xdr:col>2</xdr:col>
          <xdr:colOff>342900</xdr:colOff>
          <xdr:row>12</xdr:row>
          <xdr:rowOff>0</xdr:rowOff>
        </xdr:to>
        <xdr:sp macro="" textlink="">
          <xdr:nvSpPr>
            <xdr:cNvPr id="187393" name="Check Box 1" hidden="1">
              <a:extLst>
                <a:ext uri="{63B3BB69-23CF-44E3-9099-C40C66FF867C}">
                  <a14:compatExt spid="_x0000_s187393"/>
                </a:ext>
                <a:ext uri="{FF2B5EF4-FFF2-40B4-BE49-F238E27FC236}">
                  <a16:creationId xmlns:a16="http://schemas.microsoft.com/office/drawing/2014/main" id="{00000000-0008-0000-2C00-000001D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6</xdr:row>
          <xdr:rowOff>161925</xdr:rowOff>
        </xdr:from>
        <xdr:to>
          <xdr:col>4</xdr:col>
          <xdr:colOff>419100</xdr:colOff>
          <xdr:row>12</xdr:row>
          <xdr:rowOff>9525</xdr:rowOff>
        </xdr:to>
        <xdr:sp macro="" textlink="">
          <xdr:nvSpPr>
            <xdr:cNvPr id="187394" name="Check Box 2" hidden="1">
              <a:extLst>
                <a:ext uri="{63B3BB69-23CF-44E3-9099-C40C66FF867C}">
                  <a14:compatExt spid="_x0000_s187394"/>
                </a:ext>
                <a:ext uri="{FF2B5EF4-FFF2-40B4-BE49-F238E27FC236}">
                  <a16:creationId xmlns:a16="http://schemas.microsoft.com/office/drawing/2014/main" id="{00000000-0008-0000-2C00-000002DC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142875</xdr:colOff>
      <xdr:row>4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</xdr:colOff>
      <xdr:row>0</xdr:row>
      <xdr:rowOff>0</xdr:rowOff>
    </xdr:from>
    <xdr:to>
      <xdr:col>4</xdr:col>
      <xdr:colOff>219075</xdr:colOff>
      <xdr:row>4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0"/>
          <a:ext cx="866775" cy="86677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3</xdr:row>
          <xdr:rowOff>0</xdr:rowOff>
        </xdr:from>
        <xdr:to>
          <xdr:col>2</xdr:col>
          <xdr:colOff>352425</xdr:colOff>
          <xdr:row>15</xdr:row>
          <xdr:rowOff>171450</xdr:rowOff>
        </xdr:to>
        <xdr:sp macro="" textlink="">
          <xdr:nvSpPr>
            <xdr:cNvPr id="189441" name="Check Box 1" hidden="1">
              <a:extLst>
                <a:ext uri="{63B3BB69-23CF-44E3-9099-C40C66FF867C}">
                  <a14:compatExt spid="_x0000_s189441"/>
                </a:ext>
                <a:ext uri="{FF2B5EF4-FFF2-40B4-BE49-F238E27FC236}">
                  <a16:creationId xmlns:a16="http://schemas.microsoft.com/office/drawing/2014/main" id="{00000000-0008-0000-2E00-000001E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28575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4</xdr:row>
          <xdr:rowOff>66675</xdr:rowOff>
        </xdr:from>
        <xdr:to>
          <xdr:col>2</xdr:col>
          <xdr:colOff>342900</xdr:colOff>
          <xdr:row>14</xdr:row>
          <xdr:rowOff>95250</xdr:rowOff>
        </xdr:to>
        <xdr:sp macro="" textlink="">
          <xdr:nvSpPr>
            <xdr:cNvPr id="189443" name="Check Box 3" hidden="1">
              <a:extLst>
                <a:ext uri="{63B3BB69-23CF-44E3-9099-C40C66FF867C}">
                  <a14:compatExt spid="_x0000_s189443"/>
                </a:ext>
                <a:ext uri="{FF2B5EF4-FFF2-40B4-BE49-F238E27FC236}">
                  <a16:creationId xmlns:a16="http://schemas.microsoft.com/office/drawing/2014/main" id="{00000000-0008-0000-2E00-000003E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428625</xdr:colOff>
          <xdr:row>4</xdr:row>
          <xdr:rowOff>76200</xdr:rowOff>
        </xdr:from>
        <xdr:to>
          <xdr:col>4</xdr:col>
          <xdr:colOff>123825</xdr:colOff>
          <xdr:row>14</xdr:row>
          <xdr:rowOff>104775</xdr:rowOff>
        </xdr:to>
        <xdr:sp macro="" textlink="">
          <xdr:nvSpPr>
            <xdr:cNvPr id="189444" name="Check Box 4" hidden="1">
              <a:extLst>
                <a:ext uri="{63B3BB69-23CF-44E3-9099-C40C66FF867C}">
                  <a14:compatExt spid="_x0000_s189444"/>
                </a:ext>
                <a:ext uri="{FF2B5EF4-FFF2-40B4-BE49-F238E27FC236}">
                  <a16:creationId xmlns:a16="http://schemas.microsoft.com/office/drawing/2014/main" id="{00000000-0008-0000-2E00-000004E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28575</xdr:colOff>
      <xdr:row>4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2</xdr:row>
          <xdr:rowOff>180975</xdr:rowOff>
        </xdr:from>
        <xdr:to>
          <xdr:col>2</xdr:col>
          <xdr:colOff>342900</xdr:colOff>
          <xdr:row>15</xdr:row>
          <xdr:rowOff>161925</xdr:rowOff>
        </xdr:to>
        <xdr:sp macro="" textlink="">
          <xdr:nvSpPr>
            <xdr:cNvPr id="190465" name="Check Box 1" hidden="1">
              <a:extLst>
                <a:ext uri="{63B3BB69-23CF-44E3-9099-C40C66FF867C}">
                  <a14:compatExt spid="_x0000_s190465"/>
                </a:ext>
                <a:ext uri="{FF2B5EF4-FFF2-40B4-BE49-F238E27FC236}">
                  <a16:creationId xmlns:a16="http://schemas.microsoft.com/office/drawing/2014/main" id="{00000000-0008-0000-2F00-000001E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200025</xdr:colOff>
          <xdr:row>3</xdr:row>
          <xdr:rowOff>9525</xdr:rowOff>
        </xdr:from>
        <xdr:to>
          <xdr:col>4</xdr:col>
          <xdr:colOff>438150</xdr:colOff>
          <xdr:row>15</xdr:row>
          <xdr:rowOff>171450</xdr:rowOff>
        </xdr:to>
        <xdr:sp macro="" textlink="">
          <xdr:nvSpPr>
            <xdr:cNvPr id="190466" name="Check Box 2" hidden="1">
              <a:extLst>
                <a:ext uri="{63B3BB69-23CF-44E3-9099-C40C66FF867C}">
                  <a14:compatExt spid="_x0000_s190466"/>
                </a:ext>
                <a:ext uri="{FF2B5EF4-FFF2-40B4-BE49-F238E27FC236}">
                  <a16:creationId xmlns:a16="http://schemas.microsoft.com/office/drawing/2014/main" id="{00000000-0008-0000-2F00-000002E8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114300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4</xdr:row>
          <xdr:rowOff>66675</xdr:rowOff>
        </xdr:from>
        <xdr:to>
          <xdr:col>2</xdr:col>
          <xdr:colOff>371475</xdr:colOff>
          <xdr:row>14</xdr:row>
          <xdr:rowOff>95250</xdr:rowOff>
        </xdr:to>
        <xdr:sp macro="" textlink="">
          <xdr:nvSpPr>
            <xdr:cNvPr id="207873" name="Check Box 1" hidden="1">
              <a:extLst>
                <a:ext uri="{63B3BB69-23CF-44E3-9099-C40C66FF867C}">
                  <a14:compatExt spid="_x0000_s207873"/>
                </a:ext>
                <a:ext uri="{FF2B5EF4-FFF2-40B4-BE49-F238E27FC236}">
                  <a16:creationId xmlns:a16="http://schemas.microsoft.com/office/drawing/2014/main" id="{00000000-0008-0000-3000-0000012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200025</xdr:colOff>
          <xdr:row>4</xdr:row>
          <xdr:rowOff>66675</xdr:rowOff>
        </xdr:from>
        <xdr:to>
          <xdr:col>4</xdr:col>
          <xdr:colOff>438150</xdr:colOff>
          <xdr:row>14</xdr:row>
          <xdr:rowOff>95250</xdr:rowOff>
        </xdr:to>
        <xdr:sp macro="" textlink="">
          <xdr:nvSpPr>
            <xdr:cNvPr id="207874" name="Check Box 2" hidden="1">
              <a:extLst>
                <a:ext uri="{63B3BB69-23CF-44E3-9099-C40C66FF867C}">
                  <a14:compatExt spid="_x0000_s207874"/>
                </a:ext>
                <a:ext uri="{FF2B5EF4-FFF2-40B4-BE49-F238E27FC236}">
                  <a16:creationId xmlns:a16="http://schemas.microsoft.com/office/drawing/2014/main" id="{00000000-0008-0000-3000-0000022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114300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1771650</xdr:colOff>
      <xdr:row>0</xdr:row>
      <xdr:rowOff>0</xdr:rowOff>
    </xdr:from>
    <xdr:to>
      <xdr:col>2</xdr:col>
      <xdr:colOff>695325</xdr:colOff>
      <xdr:row>4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3650" y="0"/>
          <a:ext cx="866775" cy="86677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2</xdr:row>
          <xdr:rowOff>47625</xdr:rowOff>
        </xdr:from>
        <xdr:to>
          <xdr:col>2</xdr:col>
          <xdr:colOff>342900</xdr:colOff>
          <xdr:row>16</xdr:row>
          <xdr:rowOff>104775</xdr:rowOff>
        </xdr:to>
        <xdr:sp macro="" textlink="">
          <xdr:nvSpPr>
            <xdr:cNvPr id="209921" name="Check Box 1" hidden="1">
              <a:extLst>
                <a:ext uri="{63B3BB69-23CF-44E3-9099-C40C66FF867C}">
                  <a14:compatExt spid="_x0000_s209921"/>
                </a:ext>
                <a:ext uri="{FF2B5EF4-FFF2-40B4-BE49-F238E27FC236}">
                  <a16:creationId xmlns:a16="http://schemas.microsoft.com/office/drawing/2014/main" id="{00000000-0008-0000-3200-000001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190500</xdr:colOff>
          <xdr:row>2</xdr:row>
          <xdr:rowOff>57150</xdr:rowOff>
        </xdr:from>
        <xdr:to>
          <xdr:col>4</xdr:col>
          <xdr:colOff>428625</xdr:colOff>
          <xdr:row>16</xdr:row>
          <xdr:rowOff>104775</xdr:rowOff>
        </xdr:to>
        <xdr:sp macro="" textlink="">
          <xdr:nvSpPr>
            <xdr:cNvPr id="209922" name="Check Box 2" hidden="1">
              <a:extLst>
                <a:ext uri="{63B3BB69-23CF-44E3-9099-C40C66FF867C}">
                  <a14:compatExt spid="_x0000_s209922"/>
                </a:ext>
                <a:ext uri="{FF2B5EF4-FFF2-40B4-BE49-F238E27FC236}">
                  <a16:creationId xmlns:a16="http://schemas.microsoft.com/office/drawing/2014/main" id="{00000000-0008-0000-3200-0000023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133350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2</xdr:row>
          <xdr:rowOff>57150</xdr:rowOff>
        </xdr:from>
        <xdr:to>
          <xdr:col>2</xdr:col>
          <xdr:colOff>342900</xdr:colOff>
          <xdr:row>16</xdr:row>
          <xdr:rowOff>114300</xdr:rowOff>
        </xdr:to>
        <xdr:sp macro="" textlink="">
          <xdr:nvSpPr>
            <xdr:cNvPr id="210945" name="Check Box 1" hidden="1">
              <a:extLst>
                <a:ext uri="{63B3BB69-23CF-44E3-9099-C40C66FF867C}">
                  <a14:compatExt spid="_x0000_s210945"/>
                </a:ext>
                <a:ext uri="{FF2B5EF4-FFF2-40B4-BE49-F238E27FC236}">
                  <a16:creationId xmlns:a16="http://schemas.microsoft.com/office/drawing/2014/main" id="{00000000-0008-0000-3300-0000013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2</xdr:row>
          <xdr:rowOff>66675</xdr:rowOff>
        </xdr:from>
        <xdr:to>
          <xdr:col>4</xdr:col>
          <xdr:colOff>419100</xdr:colOff>
          <xdr:row>16</xdr:row>
          <xdr:rowOff>114300</xdr:rowOff>
        </xdr:to>
        <xdr:sp macro="" textlink="">
          <xdr:nvSpPr>
            <xdr:cNvPr id="210946" name="Check Box 2" hidden="1">
              <a:extLst>
                <a:ext uri="{63B3BB69-23CF-44E3-9099-C40C66FF867C}">
                  <a14:compatExt spid="_x0000_s210946"/>
                </a:ext>
                <a:ext uri="{FF2B5EF4-FFF2-40B4-BE49-F238E27FC236}">
                  <a16:creationId xmlns:a16="http://schemas.microsoft.com/office/drawing/2014/main" id="{00000000-0008-0000-3300-0000023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114300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5</xdr:row>
          <xdr:rowOff>114300</xdr:rowOff>
        </xdr:from>
        <xdr:to>
          <xdr:col>2</xdr:col>
          <xdr:colOff>371475</xdr:colOff>
          <xdr:row>13</xdr:row>
          <xdr:rowOff>38100</xdr:rowOff>
        </xdr:to>
        <xdr:sp macro="" textlink="">
          <xdr:nvSpPr>
            <xdr:cNvPr id="211969" name="Check Box 1" hidden="1">
              <a:extLst>
                <a:ext uri="{63B3BB69-23CF-44E3-9099-C40C66FF867C}">
                  <a14:compatExt spid="_x0000_s211969"/>
                </a:ext>
                <a:ext uri="{FF2B5EF4-FFF2-40B4-BE49-F238E27FC236}">
                  <a16:creationId xmlns:a16="http://schemas.microsoft.com/office/drawing/2014/main" id="{00000000-0008-0000-3400-0000013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5</xdr:row>
          <xdr:rowOff>114300</xdr:rowOff>
        </xdr:from>
        <xdr:to>
          <xdr:col>4</xdr:col>
          <xdr:colOff>419100</xdr:colOff>
          <xdr:row>13</xdr:row>
          <xdr:rowOff>38100</xdr:rowOff>
        </xdr:to>
        <xdr:sp macro="" textlink="">
          <xdr:nvSpPr>
            <xdr:cNvPr id="211970" name="Check Box 2" hidden="1">
              <a:extLst>
                <a:ext uri="{63B3BB69-23CF-44E3-9099-C40C66FF867C}">
                  <a14:compatExt spid="_x0000_s211970"/>
                </a:ext>
                <a:ext uri="{FF2B5EF4-FFF2-40B4-BE49-F238E27FC236}">
                  <a16:creationId xmlns:a16="http://schemas.microsoft.com/office/drawing/2014/main" id="{00000000-0008-0000-3400-0000023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514350</xdr:colOff>
      <xdr:row>0</xdr:row>
      <xdr:rowOff>0</xdr:rowOff>
    </xdr:from>
    <xdr:to>
      <xdr:col>6</xdr:col>
      <xdr:colOff>104775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0"/>
          <a:ext cx="866775" cy="86677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4</xdr:row>
          <xdr:rowOff>190500</xdr:rowOff>
        </xdr:from>
        <xdr:to>
          <xdr:col>2</xdr:col>
          <xdr:colOff>371475</xdr:colOff>
          <xdr:row>13</xdr:row>
          <xdr:rowOff>161925</xdr:rowOff>
        </xdr:to>
        <xdr:sp macro="" textlink="">
          <xdr:nvSpPr>
            <xdr:cNvPr id="212993" name="Check Box 1" hidden="1">
              <a:extLst>
                <a:ext uri="{63B3BB69-23CF-44E3-9099-C40C66FF867C}">
                  <a14:compatExt spid="_x0000_s212993"/>
                </a:ext>
                <a:ext uri="{FF2B5EF4-FFF2-40B4-BE49-F238E27FC236}">
                  <a16:creationId xmlns:a16="http://schemas.microsoft.com/office/drawing/2014/main" id="{00000000-0008-0000-3600-0000014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4</xdr:row>
          <xdr:rowOff>190500</xdr:rowOff>
        </xdr:from>
        <xdr:to>
          <xdr:col>4</xdr:col>
          <xdr:colOff>419100</xdr:colOff>
          <xdr:row>13</xdr:row>
          <xdr:rowOff>161925</xdr:rowOff>
        </xdr:to>
        <xdr:sp macro="" textlink="">
          <xdr:nvSpPr>
            <xdr:cNvPr id="212994" name="Check Box 2" hidden="1">
              <a:extLst>
                <a:ext uri="{63B3BB69-23CF-44E3-9099-C40C66FF867C}">
                  <a14:compatExt spid="_x0000_s212994"/>
                </a:ext>
                <a:ext uri="{FF2B5EF4-FFF2-40B4-BE49-F238E27FC236}">
                  <a16:creationId xmlns:a16="http://schemas.microsoft.com/office/drawing/2014/main" id="{00000000-0008-0000-3600-0000024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514350</xdr:colOff>
      <xdr:row>0</xdr:row>
      <xdr:rowOff>0</xdr:rowOff>
    </xdr:from>
    <xdr:to>
      <xdr:col>6</xdr:col>
      <xdr:colOff>104775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0"/>
          <a:ext cx="866775" cy="86677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2</xdr:row>
          <xdr:rowOff>47625</xdr:rowOff>
        </xdr:from>
        <xdr:to>
          <xdr:col>2</xdr:col>
          <xdr:colOff>342900</xdr:colOff>
          <xdr:row>16</xdr:row>
          <xdr:rowOff>104775</xdr:rowOff>
        </xdr:to>
        <xdr:sp macro="" textlink="">
          <xdr:nvSpPr>
            <xdr:cNvPr id="230401" name="Check Box 1" hidden="1">
              <a:extLst>
                <a:ext uri="{63B3BB69-23CF-44E3-9099-C40C66FF867C}">
                  <a14:compatExt spid="_x0000_s230401"/>
                </a:ext>
                <a:ext uri="{FF2B5EF4-FFF2-40B4-BE49-F238E27FC236}">
                  <a16:creationId xmlns:a16="http://schemas.microsoft.com/office/drawing/2014/main" id="{00000000-0008-0000-3700-000001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200025</xdr:colOff>
          <xdr:row>2</xdr:row>
          <xdr:rowOff>47625</xdr:rowOff>
        </xdr:from>
        <xdr:to>
          <xdr:col>4</xdr:col>
          <xdr:colOff>438150</xdr:colOff>
          <xdr:row>16</xdr:row>
          <xdr:rowOff>95250</xdr:rowOff>
        </xdr:to>
        <xdr:sp macro="" textlink="">
          <xdr:nvSpPr>
            <xdr:cNvPr id="230402" name="Check Box 2" hidden="1">
              <a:extLst>
                <a:ext uri="{63B3BB69-23CF-44E3-9099-C40C66FF867C}">
                  <a14:compatExt spid="_x0000_s230402"/>
                </a:ext>
                <a:ext uri="{FF2B5EF4-FFF2-40B4-BE49-F238E27FC236}">
                  <a16:creationId xmlns:a16="http://schemas.microsoft.com/office/drawing/2014/main" id="{00000000-0008-0000-3700-0000028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114300</xdr:colOff>
      <xdr:row>4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2</xdr:row>
          <xdr:rowOff>57150</xdr:rowOff>
        </xdr:from>
        <xdr:to>
          <xdr:col>2</xdr:col>
          <xdr:colOff>352425</xdr:colOff>
          <xdr:row>16</xdr:row>
          <xdr:rowOff>114300</xdr:rowOff>
        </xdr:to>
        <xdr:sp macro="" textlink="">
          <xdr:nvSpPr>
            <xdr:cNvPr id="232449" name="Check Box 1" hidden="1">
              <a:extLst>
                <a:ext uri="{63B3BB69-23CF-44E3-9099-C40C66FF867C}">
                  <a14:compatExt spid="_x0000_s232449"/>
                </a:ext>
                <a:ext uri="{FF2B5EF4-FFF2-40B4-BE49-F238E27FC236}">
                  <a16:creationId xmlns:a16="http://schemas.microsoft.com/office/drawing/2014/main" id="{00000000-0008-0000-3800-0000018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28575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428625</xdr:colOff>
          <xdr:row>3</xdr:row>
          <xdr:rowOff>123825</xdr:rowOff>
        </xdr:from>
        <xdr:to>
          <xdr:col>4</xdr:col>
          <xdr:colOff>123825</xdr:colOff>
          <xdr:row>15</xdr:row>
          <xdr:rowOff>28575</xdr:rowOff>
        </xdr:to>
        <xdr:sp macro="" textlink="">
          <xdr:nvSpPr>
            <xdr:cNvPr id="232451" name="Check Box 3" hidden="1">
              <a:extLst>
                <a:ext uri="{63B3BB69-23CF-44E3-9099-C40C66FF867C}">
                  <a14:compatExt spid="_x0000_s232451"/>
                </a:ext>
                <a:ext uri="{FF2B5EF4-FFF2-40B4-BE49-F238E27FC236}">
                  <a16:creationId xmlns:a16="http://schemas.microsoft.com/office/drawing/2014/main" id="{00000000-0008-0000-3800-0000038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</xdr:col>
      <xdr:colOff>523875</xdr:colOff>
      <xdr:row>0</xdr:row>
      <xdr:rowOff>0</xdr:rowOff>
    </xdr:from>
    <xdr:to>
      <xdr:col>6</xdr:col>
      <xdr:colOff>28575</xdr:colOff>
      <xdr:row>4</xdr:row>
      <xdr:rowOff>104775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075" y="0"/>
          <a:ext cx="866775" cy="86677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0</xdr:rowOff>
    </xdr:from>
    <xdr:to>
      <xdr:col>1</xdr:col>
      <xdr:colOff>1009650</xdr:colOff>
      <xdr:row>4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0"/>
          <a:ext cx="866775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6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7.bin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8.bin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0.bin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1.bin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2.bin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4.bin"/><Relationship Id="rId5" Type="http://schemas.openxmlformats.org/officeDocument/2006/relationships/ctrlProp" Target="../ctrlProps/ctrlProp16.xml"/><Relationship Id="rId4" Type="http://schemas.openxmlformats.org/officeDocument/2006/relationships/ctrlProp" Target="../ctrlProps/ctrlProp1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5.bin"/><Relationship Id="rId5" Type="http://schemas.openxmlformats.org/officeDocument/2006/relationships/ctrlProp" Target="../ctrlProps/ctrlProp18.xml"/><Relationship Id="rId4" Type="http://schemas.openxmlformats.org/officeDocument/2006/relationships/ctrlProp" Target="../ctrlProps/ctrlProp17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6.bin"/><Relationship Id="rId5" Type="http://schemas.openxmlformats.org/officeDocument/2006/relationships/ctrlProp" Target="../ctrlProps/ctrlProp20.xml"/><Relationship Id="rId4" Type="http://schemas.openxmlformats.org/officeDocument/2006/relationships/ctrlProp" Target="../ctrlProps/ctrlProp19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7.bin"/><Relationship Id="rId5" Type="http://schemas.openxmlformats.org/officeDocument/2006/relationships/ctrlProp" Target="../ctrlProps/ctrlProp22.xml"/><Relationship Id="rId4" Type="http://schemas.openxmlformats.org/officeDocument/2006/relationships/ctrlProp" Target="../ctrlProps/ctrlProp21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9.bin"/><Relationship Id="rId5" Type="http://schemas.openxmlformats.org/officeDocument/2006/relationships/ctrlProp" Target="../ctrlProps/ctrlProp24.xml"/><Relationship Id="rId4" Type="http://schemas.openxmlformats.org/officeDocument/2006/relationships/ctrlProp" Target="../ctrlProps/ctrlProp23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30.bin"/><Relationship Id="rId5" Type="http://schemas.openxmlformats.org/officeDocument/2006/relationships/ctrlProp" Target="../ctrlProps/ctrlProp26.xml"/><Relationship Id="rId4" Type="http://schemas.openxmlformats.org/officeDocument/2006/relationships/ctrlProp" Target="../ctrlProps/ctrlProp2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32.bin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33.bin"/><Relationship Id="rId5" Type="http://schemas.openxmlformats.org/officeDocument/2006/relationships/ctrlProp" Target="../ctrlProps/ctrlProp30.xml"/><Relationship Id="rId4" Type="http://schemas.openxmlformats.org/officeDocument/2006/relationships/ctrlProp" Target="../ctrlProps/ctrlProp29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34.bin"/><Relationship Id="rId5" Type="http://schemas.openxmlformats.org/officeDocument/2006/relationships/ctrlProp" Target="../ctrlProps/ctrlProp32.xml"/><Relationship Id="rId4" Type="http://schemas.openxmlformats.org/officeDocument/2006/relationships/ctrlProp" Target="../ctrlProps/ctrlProp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6.bin"/><Relationship Id="rId5" Type="http://schemas.openxmlformats.org/officeDocument/2006/relationships/ctrlProp" Target="../ctrlProps/ctrlProp34.xml"/><Relationship Id="rId4" Type="http://schemas.openxmlformats.org/officeDocument/2006/relationships/ctrlProp" Target="../ctrlProps/ctrlProp33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7.bin"/><Relationship Id="rId5" Type="http://schemas.openxmlformats.org/officeDocument/2006/relationships/ctrlProp" Target="../ctrlProps/ctrlProp36.xml"/><Relationship Id="rId4" Type="http://schemas.openxmlformats.org/officeDocument/2006/relationships/ctrlProp" Target="../ctrlProps/ctrlProp35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8.bin"/><Relationship Id="rId5" Type="http://schemas.openxmlformats.org/officeDocument/2006/relationships/ctrlProp" Target="../ctrlProps/ctrlProp38.xml"/><Relationship Id="rId4" Type="http://schemas.openxmlformats.org/officeDocument/2006/relationships/ctrlProp" Target="../ctrlProps/ctrlProp37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9.bin"/><Relationship Id="rId5" Type="http://schemas.openxmlformats.org/officeDocument/2006/relationships/ctrlProp" Target="../ctrlProps/ctrlProp40.xml"/><Relationship Id="rId4" Type="http://schemas.openxmlformats.org/officeDocument/2006/relationships/ctrlProp" Target="../ctrlProps/ctrlProp39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40.bin"/><Relationship Id="rId5" Type="http://schemas.openxmlformats.org/officeDocument/2006/relationships/ctrlProp" Target="../ctrlProps/ctrlProp42.xml"/><Relationship Id="rId4" Type="http://schemas.openxmlformats.org/officeDocument/2006/relationships/ctrlProp" Target="../ctrlProps/ctrlProp41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42.bin"/><Relationship Id="rId5" Type="http://schemas.openxmlformats.org/officeDocument/2006/relationships/ctrlProp" Target="../ctrlProps/ctrlProp44.xml"/><Relationship Id="rId4" Type="http://schemas.openxmlformats.org/officeDocument/2006/relationships/ctrlProp" Target="../ctrlProps/ctrlProp43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43.bin"/><Relationship Id="rId5" Type="http://schemas.openxmlformats.org/officeDocument/2006/relationships/ctrlProp" Target="../ctrlProps/ctrlProp46.xml"/><Relationship Id="rId4" Type="http://schemas.openxmlformats.org/officeDocument/2006/relationships/ctrlProp" Target="../ctrlProps/ctrlProp45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44.bin"/><Relationship Id="rId5" Type="http://schemas.openxmlformats.org/officeDocument/2006/relationships/ctrlProp" Target="../ctrlProps/ctrlProp48.xml"/><Relationship Id="rId4" Type="http://schemas.openxmlformats.org/officeDocument/2006/relationships/ctrlProp" Target="../ctrlProps/ctrlProp47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45.bin"/><Relationship Id="rId5" Type="http://schemas.openxmlformats.org/officeDocument/2006/relationships/ctrlProp" Target="../ctrlProps/ctrlProp50.xml"/><Relationship Id="rId4" Type="http://schemas.openxmlformats.org/officeDocument/2006/relationships/ctrlProp" Target="../ctrlProps/ctrlProp49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47.bin"/><Relationship Id="rId6" Type="http://schemas.openxmlformats.org/officeDocument/2006/relationships/ctrlProp" Target="../ctrlProps/ctrlProp53.xml"/><Relationship Id="rId5" Type="http://schemas.openxmlformats.org/officeDocument/2006/relationships/ctrlProp" Target="../ctrlProps/ctrlProp52.xml"/><Relationship Id="rId4" Type="http://schemas.openxmlformats.org/officeDocument/2006/relationships/ctrlProp" Target="../ctrlProps/ctrlProp51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48.bin"/><Relationship Id="rId5" Type="http://schemas.openxmlformats.org/officeDocument/2006/relationships/ctrlProp" Target="../ctrlProps/ctrlProp55.xml"/><Relationship Id="rId4" Type="http://schemas.openxmlformats.org/officeDocument/2006/relationships/ctrlProp" Target="../ctrlProps/ctrlProp54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49.bin"/><Relationship Id="rId5" Type="http://schemas.openxmlformats.org/officeDocument/2006/relationships/ctrlProp" Target="../ctrlProps/ctrlProp57.xml"/><Relationship Id="rId4" Type="http://schemas.openxmlformats.org/officeDocument/2006/relationships/ctrlProp" Target="../ctrlProps/ctrlProp56.x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51.bin"/><Relationship Id="rId5" Type="http://schemas.openxmlformats.org/officeDocument/2006/relationships/ctrlProp" Target="../ctrlProps/ctrlProp59.xml"/><Relationship Id="rId4" Type="http://schemas.openxmlformats.org/officeDocument/2006/relationships/ctrlProp" Target="../ctrlProps/ctrlProp58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52.bin"/><Relationship Id="rId5" Type="http://schemas.openxmlformats.org/officeDocument/2006/relationships/ctrlProp" Target="../ctrlProps/ctrlProp61.xml"/><Relationship Id="rId4" Type="http://schemas.openxmlformats.org/officeDocument/2006/relationships/ctrlProp" Target="../ctrlProps/ctrlProp60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53.bin"/><Relationship Id="rId5" Type="http://schemas.openxmlformats.org/officeDocument/2006/relationships/ctrlProp" Target="../ctrlProps/ctrlProp63.xml"/><Relationship Id="rId4" Type="http://schemas.openxmlformats.org/officeDocument/2006/relationships/ctrlProp" Target="../ctrlProps/ctrlProp6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55.bin"/><Relationship Id="rId5" Type="http://schemas.openxmlformats.org/officeDocument/2006/relationships/ctrlProp" Target="../ctrlProps/ctrlProp65.xml"/><Relationship Id="rId4" Type="http://schemas.openxmlformats.org/officeDocument/2006/relationships/ctrlProp" Target="../ctrlProps/ctrlProp64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56.bin"/><Relationship Id="rId5" Type="http://schemas.openxmlformats.org/officeDocument/2006/relationships/ctrlProp" Target="../ctrlProps/ctrlProp67.xml"/><Relationship Id="rId4" Type="http://schemas.openxmlformats.org/officeDocument/2006/relationships/ctrlProp" Target="../ctrlProps/ctrlProp66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57.bin"/><Relationship Id="rId5" Type="http://schemas.openxmlformats.org/officeDocument/2006/relationships/ctrlProp" Target="../ctrlProps/ctrlProp69.xml"/><Relationship Id="rId4" Type="http://schemas.openxmlformats.org/officeDocument/2006/relationships/ctrlProp" Target="../ctrlProps/ctrlProp68.x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5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767C-A213-4015-901A-5DC25D0E4643}">
  <sheetPr>
    <pageSetUpPr fitToPage="1"/>
  </sheetPr>
  <dimension ref="B1:O36"/>
  <sheetViews>
    <sheetView workbookViewId="0">
      <selection activeCell="B29" sqref="B29"/>
    </sheetView>
  </sheetViews>
  <sheetFormatPr defaultRowHeight="15" x14ac:dyDescent="0.25"/>
  <cols>
    <col min="2" max="2" width="32.7109375" customWidth="1"/>
    <col min="3" max="3" width="20.28515625" customWidth="1"/>
    <col min="4" max="4" width="13.28515625" customWidth="1"/>
    <col min="5" max="5" width="11.140625" customWidth="1"/>
    <col min="6" max="6" width="11" customWidth="1"/>
    <col min="7" max="7" width="11.140625" customWidth="1"/>
    <col min="8" max="8" width="13.5703125" customWidth="1"/>
    <col min="9" max="9" width="15.7109375" customWidth="1"/>
    <col min="10" max="10" width="14.28515625" customWidth="1"/>
    <col min="11" max="11" width="13.28515625" customWidth="1"/>
    <col min="12" max="12" width="9.42578125" customWidth="1"/>
    <col min="13" max="13" width="9.28515625" customWidth="1"/>
    <col min="14" max="14" width="11.28515625" customWidth="1"/>
    <col min="15" max="15" width="23.7109375" customWidth="1"/>
    <col min="16" max="17" width="9.140625" customWidth="1"/>
  </cols>
  <sheetData>
    <row r="1" spans="2:15" ht="15.75" x14ac:dyDescent="0.25">
      <c r="B1" s="421" t="s">
        <v>0</v>
      </c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</row>
    <row r="2" spans="2:15" x14ac:dyDescent="0.25">
      <c r="B2" s="422" t="s">
        <v>52</v>
      </c>
      <c r="C2" s="422"/>
      <c r="D2" s="422"/>
      <c r="E2" s="422"/>
      <c r="F2" s="422"/>
      <c r="G2" s="422"/>
      <c r="H2" s="422"/>
      <c r="I2" s="422"/>
      <c r="J2" s="422"/>
      <c r="K2" s="422"/>
      <c r="L2" s="422"/>
      <c r="M2" s="422"/>
      <c r="N2" s="422"/>
      <c r="O2" s="422"/>
    </row>
    <row r="3" spans="2:15" ht="15.75" x14ac:dyDescent="0.25">
      <c r="B3" s="421" t="s">
        <v>53</v>
      </c>
      <c r="C3" s="421"/>
      <c r="D3" s="421"/>
      <c r="E3" s="421"/>
      <c r="F3" s="421"/>
      <c r="G3" s="421"/>
      <c r="H3" s="421"/>
      <c r="I3" s="421"/>
      <c r="J3" s="421"/>
      <c r="K3" s="421"/>
      <c r="L3" s="421"/>
      <c r="M3" s="421"/>
      <c r="N3" s="421"/>
      <c r="O3" s="421"/>
    </row>
    <row r="4" spans="2:15" x14ac:dyDescent="0.25">
      <c r="B4" s="423" t="s">
        <v>98</v>
      </c>
      <c r="C4" s="423"/>
      <c r="D4" s="423"/>
      <c r="E4" s="423"/>
      <c r="F4" s="423"/>
      <c r="G4" s="423"/>
      <c r="H4" s="423"/>
      <c r="I4" s="423"/>
      <c r="J4" s="423"/>
      <c r="K4" s="423"/>
      <c r="L4" s="423"/>
      <c r="M4" s="423"/>
      <c r="N4" s="423"/>
      <c r="O4" s="423"/>
    </row>
    <row r="5" spans="2:15" x14ac:dyDescent="0.25">
      <c r="B5" s="9"/>
      <c r="C5" s="9"/>
      <c r="D5" s="9"/>
      <c r="E5" s="73"/>
      <c r="F5" s="73"/>
      <c r="G5" s="73"/>
      <c r="H5" s="73"/>
      <c r="I5" s="73"/>
      <c r="J5" s="72"/>
      <c r="K5" s="72"/>
      <c r="L5" s="73"/>
      <c r="M5" s="73"/>
      <c r="N5" s="72"/>
      <c r="O5" s="9"/>
    </row>
    <row r="6" spans="2:15" x14ac:dyDescent="0.25">
      <c r="B6" s="424" t="s">
        <v>54</v>
      </c>
      <c r="C6" s="424"/>
      <c r="D6" s="424"/>
      <c r="E6" s="424"/>
      <c r="F6" s="424"/>
      <c r="G6" s="424"/>
      <c r="H6" s="424"/>
      <c r="I6" s="424"/>
      <c r="J6" s="424"/>
      <c r="K6" s="424"/>
      <c r="L6" s="424"/>
      <c r="M6" s="424"/>
      <c r="N6" s="424"/>
      <c r="O6" s="424"/>
    </row>
    <row r="7" spans="2:15" x14ac:dyDescent="0.25">
      <c r="B7" s="424" t="s">
        <v>55</v>
      </c>
      <c r="C7" s="424"/>
      <c r="D7" s="424"/>
      <c r="E7" s="424"/>
      <c r="F7" s="424"/>
      <c r="G7" s="424"/>
      <c r="H7" s="424"/>
      <c r="I7" s="424"/>
      <c r="J7" s="424"/>
      <c r="K7" s="424"/>
      <c r="L7" s="424"/>
      <c r="M7" s="424"/>
      <c r="N7" s="424"/>
      <c r="O7" s="424"/>
    </row>
    <row r="8" spans="2:15" x14ac:dyDescent="0.25">
      <c r="B8" s="9"/>
      <c r="C8" s="9"/>
      <c r="D8" s="9"/>
      <c r="E8" s="73"/>
      <c r="F8" s="73"/>
      <c r="G8" s="73"/>
      <c r="H8" s="73"/>
      <c r="I8" s="73"/>
      <c r="J8" s="72"/>
      <c r="K8" s="72"/>
      <c r="L8" s="73"/>
      <c r="M8" s="73"/>
      <c r="N8" s="72"/>
      <c r="O8" s="9"/>
    </row>
    <row r="9" spans="2:15" x14ac:dyDescent="0.25">
      <c r="B9" s="74"/>
      <c r="C9" s="74"/>
      <c r="D9" s="74"/>
      <c r="E9" s="107"/>
      <c r="F9" s="107"/>
      <c r="G9" s="107"/>
      <c r="H9" s="107"/>
      <c r="I9" s="107"/>
      <c r="J9" s="75"/>
      <c r="K9" s="425" t="s">
        <v>56</v>
      </c>
      <c r="L9" s="426"/>
      <c r="M9" s="427"/>
      <c r="N9" s="75"/>
      <c r="O9" s="76"/>
    </row>
    <row r="10" spans="2:15" x14ac:dyDescent="0.25">
      <c r="B10" s="79"/>
      <c r="C10" s="79"/>
      <c r="D10" s="79"/>
      <c r="E10" s="108" t="s">
        <v>57</v>
      </c>
      <c r="F10" s="108" t="s">
        <v>58</v>
      </c>
      <c r="G10" s="109" t="s">
        <v>59</v>
      </c>
      <c r="H10" s="109" t="s">
        <v>58</v>
      </c>
      <c r="I10" s="109" t="s">
        <v>71</v>
      </c>
      <c r="J10" s="77" t="s">
        <v>60</v>
      </c>
      <c r="K10" s="77" t="s">
        <v>61</v>
      </c>
      <c r="L10" s="81" t="s">
        <v>62</v>
      </c>
      <c r="M10" s="80" t="s">
        <v>63</v>
      </c>
      <c r="N10" s="81" t="s">
        <v>64</v>
      </c>
      <c r="O10" s="78" t="s">
        <v>65</v>
      </c>
    </row>
    <row r="11" spans="2:15" x14ac:dyDescent="0.25">
      <c r="B11" s="79" t="s">
        <v>66</v>
      </c>
      <c r="C11" s="79" t="s">
        <v>67</v>
      </c>
      <c r="D11" s="79" t="s">
        <v>68</v>
      </c>
      <c r="E11" s="108" t="s">
        <v>69</v>
      </c>
      <c r="F11" s="108" t="s">
        <v>97</v>
      </c>
      <c r="G11" s="109" t="s">
        <v>70</v>
      </c>
      <c r="H11" s="109" t="s">
        <v>57</v>
      </c>
      <c r="I11" s="109"/>
      <c r="J11" s="77" t="s">
        <v>72</v>
      </c>
      <c r="K11" s="77" t="s">
        <v>73</v>
      </c>
      <c r="L11" s="81"/>
      <c r="M11" s="80"/>
      <c r="N11" s="81" t="s">
        <v>74</v>
      </c>
      <c r="O11" s="82"/>
    </row>
    <row r="12" spans="2:15" x14ac:dyDescent="0.25">
      <c r="B12" s="110"/>
      <c r="C12" s="110"/>
      <c r="D12" s="110"/>
      <c r="E12" s="111"/>
      <c r="F12" s="111" t="s">
        <v>69</v>
      </c>
      <c r="G12" s="112"/>
      <c r="H12" s="112" t="s">
        <v>70</v>
      </c>
      <c r="I12" s="112"/>
      <c r="J12" s="113"/>
      <c r="K12" s="114" t="s">
        <v>75</v>
      </c>
      <c r="L12" s="84"/>
      <c r="M12" s="83"/>
      <c r="N12" s="115"/>
      <c r="O12" s="85"/>
    </row>
    <row r="13" spans="2:15" x14ac:dyDescent="0.25">
      <c r="B13" s="86" t="s">
        <v>76</v>
      </c>
      <c r="C13" s="87" t="s">
        <v>77</v>
      </c>
      <c r="D13" s="87" t="s">
        <v>80</v>
      </c>
      <c r="E13" s="88">
        <v>14600</v>
      </c>
      <c r="F13" s="89">
        <f>E13/2</f>
        <v>7300</v>
      </c>
      <c r="G13" s="89">
        <v>4000</v>
      </c>
      <c r="H13" s="89">
        <v>2000</v>
      </c>
      <c r="I13" s="116"/>
      <c r="J13" s="88">
        <f>F13+H13</f>
        <v>9300</v>
      </c>
      <c r="K13" s="117"/>
      <c r="L13" s="88"/>
      <c r="M13" s="88"/>
      <c r="N13" s="88">
        <f t="shared" ref="N13:N18" si="0">J13-K13-L13-M13</f>
        <v>9300</v>
      </c>
      <c r="O13" s="90"/>
    </row>
    <row r="14" spans="2:15" x14ac:dyDescent="0.25">
      <c r="B14" s="91" t="s">
        <v>78</v>
      </c>
      <c r="C14" s="87" t="s">
        <v>79</v>
      </c>
      <c r="D14" s="87" t="s">
        <v>80</v>
      </c>
      <c r="E14" s="92">
        <v>14600</v>
      </c>
      <c r="F14" s="93">
        <f t="shared" ref="F14:F18" si="1">E14/2</f>
        <v>7300</v>
      </c>
      <c r="G14" s="118">
        <v>4000</v>
      </c>
      <c r="H14" s="118">
        <v>2000</v>
      </c>
      <c r="I14" s="118"/>
      <c r="J14" s="88">
        <f>F14+H14</f>
        <v>9300</v>
      </c>
      <c r="K14" s="119"/>
      <c r="L14" s="94"/>
      <c r="M14" s="95"/>
      <c r="N14" s="88">
        <f t="shared" si="0"/>
        <v>9300</v>
      </c>
      <c r="O14" s="90"/>
    </row>
    <row r="15" spans="2:15" x14ac:dyDescent="0.25">
      <c r="B15" s="96" t="s">
        <v>15</v>
      </c>
      <c r="C15" s="87" t="s">
        <v>81</v>
      </c>
      <c r="D15" s="87" t="s">
        <v>80</v>
      </c>
      <c r="E15" s="92">
        <v>21369</v>
      </c>
      <c r="F15" s="93">
        <f t="shared" si="1"/>
        <v>10684.5</v>
      </c>
      <c r="G15" s="120">
        <v>4000</v>
      </c>
      <c r="H15" s="120">
        <v>2000</v>
      </c>
      <c r="I15" s="97"/>
      <c r="J15" s="88">
        <f>F15+H15</f>
        <v>12684.5</v>
      </c>
      <c r="K15" s="121"/>
      <c r="L15" s="120"/>
      <c r="M15" s="120"/>
      <c r="N15" s="88">
        <f t="shared" si="0"/>
        <v>12684.5</v>
      </c>
      <c r="O15" s="90"/>
    </row>
    <row r="16" spans="2:15" x14ac:dyDescent="0.25">
      <c r="B16" s="91" t="s">
        <v>82</v>
      </c>
      <c r="C16" s="87" t="s">
        <v>83</v>
      </c>
      <c r="D16" s="87" t="s">
        <v>80</v>
      </c>
      <c r="E16" s="92">
        <v>14600</v>
      </c>
      <c r="F16" s="93">
        <f t="shared" si="1"/>
        <v>7300</v>
      </c>
      <c r="G16" s="95">
        <v>4000</v>
      </c>
      <c r="H16" s="95">
        <v>2000</v>
      </c>
      <c r="I16" s="95"/>
      <c r="J16" s="88">
        <f>F16+H16</f>
        <v>9300</v>
      </c>
      <c r="K16" s="121"/>
      <c r="L16" s="95"/>
      <c r="M16" s="95"/>
      <c r="N16" s="88">
        <f t="shared" si="0"/>
        <v>9300</v>
      </c>
      <c r="O16" s="90"/>
    </row>
    <row r="17" spans="2:15" x14ac:dyDescent="0.25">
      <c r="B17" s="91" t="s">
        <v>84</v>
      </c>
      <c r="C17" s="87" t="s">
        <v>85</v>
      </c>
      <c r="D17" s="87" t="s">
        <v>80</v>
      </c>
      <c r="E17" s="92">
        <v>21369</v>
      </c>
      <c r="F17" s="93">
        <f t="shared" si="1"/>
        <v>10684.5</v>
      </c>
      <c r="G17" s="122">
        <v>4000</v>
      </c>
      <c r="H17" s="122">
        <v>2000</v>
      </c>
      <c r="I17" s="123"/>
      <c r="J17" s="88">
        <f>F17+H17</f>
        <v>12684.5</v>
      </c>
      <c r="K17" s="121"/>
      <c r="L17" s="120"/>
      <c r="M17" s="120"/>
      <c r="N17" s="88">
        <f t="shared" si="0"/>
        <v>12684.5</v>
      </c>
      <c r="O17" s="98"/>
    </row>
    <row r="18" spans="2:15" x14ac:dyDescent="0.25">
      <c r="B18" s="86" t="s">
        <v>5</v>
      </c>
      <c r="C18" s="87" t="s">
        <v>86</v>
      </c>
      <c r="D18" s="87" t="s">
        <v>80</v>
      </c>
      <c r="E18" s="92">
        <v>26869</v>
      </c>
      <c r="F18" s="93">
        <f t="shared" si="1"/>
        <v>13434.5</v>
      </c>
      <c r="G18" s="95">
        <v>5000</v>
      </c>
      <c r="H18" s="95">
        <v>2500</v>
      </c>
      <c r="I18" s="88">
        <v>2250</v>
      </c>
      <c r="J18" s="88">
        <f>F18+H18+I18</f>
        <v>18184.5</v>
      </c>
      <c r="K18" s="121"/>
      <c r="L18" s="95"/>
      <c r="M18" s="95"/>
      <c r="N18" s="88">
        <f t="shared" si="0"/>
        <v>18184.5</v>
      </c>
      <c r="O18" s="98"/>
    </row>
    <row r="19" spans="2:15" x14ac:dyDescent="0.25">
      <c r="B19" s="428" t="s">
        <v>87</v>
      </c>
      <c r="C19" s="429"/>
      <c r="D19" s="429"/>
      <c r="E19" s="429"/>
      <c r="F19" s="429"/>
      <c r="G19" s="429"/>
      <c r="H19" s="429"/>
      <c r="I19" s="429"/>
      <c r="J19" s="429"/>
      <c r="K19" s="429"/>
      <c r="L19" s="429"/>
      <c r="M19" s="429"/>
      <c r="N19" s="429"/>
      <c r="O19" s="430"/>
    </row>
    <row r="20" spans="2:15" x14ac:dyDescent="0.25">
      <c r="B20" s="98"/>
      <c r="C20" s="98"/>
      <c r="D20" s="98"/>
      <c r="E20" s="95"/>
      <c r="F20" s="95"/>
      <c r="G20" s="95"/>
      <c r="H20" s="95"/>
      <c r="I20" s="95"/>
      <c r="J20" s="92"/>
      <c r="K20" s="92"/>
      <c r="L20" s="95"/>
      <c r="M20" s="95"/>
      <c r="N20" s="92"/>
      <c r="O20" s="98"/>
    </row>
    <row r="21" spans="2:15" x14ac:dyDescent="0.25">
      <c r="B21" s="98"/>
      <c r="C21" s="98"/>
      <c r="D21" s="98"/>
      <c r="E21" s="95"/>
      <c r="F21" s="95"/>
      <c r="G21" s="95"/>
      <c r="H21" s="95"/>
      <c r="I21" s="95"/>
      <c r="J21" s="92"/>
      <c r="K21" s="92"/>
      <c r="L21" s="95"/>
      <c r="M21" s="95"/>
      <c r="N21" s="92"/>
      <c r="O21" s="98"/>
    </row>
    <row r="22" spans="2:15" x14ac:dyDescent="0.25">
      <c r="B22" s="98"/>
      <c r="C22" s="98"/>
      <c r="D22" s="98"/>
      <c r="E22" s="95"/>
      <c r="F22" s="95"/>
      <c r="G22" s="95"/>
      <c r="H22" s="95"/>
      <c r="I22" s="95"/>
      <c r="J22" s="92"/>
      <c r="K22" s="92"/>
      <c r="L22" s="95"/>
      <c r="M22" s="95"/>
      <c r="N22" s="92"/>
      <c r="O22" s="98"/>
    </row>
    <row r="23" spans="2:15" x14ac:dyDescent="0.25">
      <c r="B23" s="98"/>
      <c r="C23" s="98"/>
      <c r="D23" s="98"/>
      <c r="E23" s="95"/>
      <c r="F23" s="95"/>
      <c r="G23" s="95"/>
      <c r="H23" s="95"/>
      <c r="I23" s="95"/>
      <c r="J23" s="92"/>
      <c r="K23" s="92"/>
      <c r="L23" s="95"/>
      <c r="M23" s="95"/>
      <c r="N23" s="92"/>
      <c r="O23" s="98"/>
    </row>
    <row r="24" spans="2:15" x14ac:dyDescent="0.25">
      <c r="B24" s="98"/>
      <c r="C24" s="98"/>
      <c r="D24" s="98"/>
      <c r="E24" s="95"/>
      <c r="F24" s="95"/>
      <c r="G24" s="95"/>
      <c r="H24" s="95"/>
      <c r="I24" s="95"/>
      <c r="J24" s="92"/>
      <c r="K24" s="92"/>
      <c r="L24" s="95"/>
      <c r="M24" s="95"/>
      <c r="N24" s="92"/>
      <c r="O24" s="98"/>
    </row>
    <row r="25" spans="2:15" x14ac:dyDescent="0.25">
      <c r="B25" s="98"/>
      <c r="C25" s="98"/>
      <c r="D25" s="98"/>
      <c r="E25" s="95"/>
      <c r="F25" s="95"/>
      <c r="G25" s="95"/>
      <c r="H25" s="95"/>
      <c r="I25" s="95"/>
      <c r="J25" s="92"/>
      <c r="K25" s="92"/>
      <c r="L25" s="95"/>
      <c r="M25" s="95"/>
      <c r="N25" s="92"/>
      <c r="O25" s="90"/>
    </row>
    <row r="26" spans="2:15" x14ac:dyDescent="0.25">
      <c r="B26" s="98"/>
      <c r="C26" s="98"/>
      <c r="D26" s="98"/>
      <c r="E26" s="95"/>
      <c r="F26" s="95"/>
      <c r="G26" s="95"/>
      <c r="H26" s="95"/>
      <c r="I26" s="95"/>
      <c r="J26" s="92"/>
      <c r="K26" s="92"/>
      <c r="L26" s="95"/>
      <c r="M26" s="95"/>
      <c r="N26" s="92"/>
      <c r="O26" s="90"/>
    </row>
    <row r="27" spans="2:15" x14ac:dyDescent="0.25">
      <c r="B27" s="98"/>
      <c r="C27" s="98"/>
      <c r="D27" s="98"/>
      <c r="E27" s="95"/>
      <c r="F27" s="95"/>
      <c r="G27" s="95"/>
      <c r="H27" s="95"/>
      <c r="I27" s="95"/>
      <c r="J27" s="92"/>
      <c r="K27" s="92"/>
      <c r="L27" s="95"/>
      <c r="M27" s="95"/>
      <c r="N27" s="92"/>
      <c r="O27" s="98"/>
    </row>
    <row r="28" spans="2:15" x14ac:dyDescent="0.25">
      <c r="B28" s="98"/>
      <c r="C28" s="98"/>
      <c r="D28" s="99" t="s">
        <v>32</v>
      </c>
      <c r="E28" s="88">
        <f t="shared" ref="E28:N28" si="2">SUM(E13:E27)</f>
        <v>113407</v>
      </c>
      <c r="F28" s="88">
        <f t="shared" si="2"/>
        <v>56703.5</v>
      </c>
      <c r="G28" s="88">
        <f t="shared" si="2"/>
        <v>25000</v>
      </c>
      <c r="H28" s="88">
        <f t="shared" si="2"/>
        <v>12500</v>
      </c>
      <c r="I28" s="88">
        <f t="shared" si="2"/>
        <v>2250</v>
      </c>
      <c r="J28" s="88">
        <f t="shared" si="2"/>
        <v>71453.5</v>
      </c>
      <c r="K28" s="88">
        <f t="shared" si="2"/>
        <v>0</v>
      </c>
      <c r="L28" s="88">
        <f t="shared" si="2"/>
        <v>0</v>
      </c>
      <c r="M28" s="88">
        <f t="shared" si="2"/>
        <v>0</v>
      </c>
      <c r="N28" s="100">
        <f t="shared" si="2"/>
        <v>71453.5</v>
      </c>
      <c r="O28" s="90"/>
    </row>
    <row r="29" spans="2:15" x14ac:dyDescent="0.25">
      <c r="B29" s="101"/>
      <c r="C29" s="101"/>
      <c r="D29" s="102"/>
      <c r="E29" s="104"/>
      <c r="F29" s="104"/>
      <c r="G29" s="104"/>
      <c r="H29" s="104"/>
      <c r="I29" s="104"/>
      <c r="J29" s="62"/>
      <c r="K29" s="103"/>
      <c r="L29" s="104"/>
      <c r="M29" s="104" t="s">
        <v>89</v>
      </c>
      <c r="N29" s="103"/>
      <c r="O29" s="105"/>
    </row>
    <row r="30" spans="2:15" x14ac:dyDescent="0.25">
      <c r="B30" s="101"/>
      <c r="C30" s="101"/>
      <c r="D30" s="102"/>
      <c r="E30" s="104"/>
      <c r="F30" s="104"/>
      <c r="G30" s="104"/>
      <c r="H30" s="104"/>
      <c r="I30" s="104"/>
      <c r="J30" s="103"/>
      <c r="K30" s="103"/>
      <c r="L30" s="104"/>
      <c r="M30" s="104" t="s">
        <v>90</v>
      </c>
      <c r="N30" s="103"/>
      <c r="O30" s="106"/>
    </row>
    <row r="31" spans="2:15" x14ac:dyDescent="0.25">
      <c r="B31" s="101" t="s">
        <v>12</v>
      </c>
      <c r="C31" s="101"/>
      <c r="D31" s="102"/>
      <c r="E31" s="104" t="s">
        <v>13</v>
      </c>
      <c r="F31" s="104"/>
      <c r="G31" s="104"/>
      <c r="H31" s="104"/>
      <c r="I31" s="104"/>
      <c r="J31" s="103"/>
      <c r="K31" s="124" t="s">
        <v>88</v>
      </c>
      <c r="L31" s="104"/>
      <c r="M31" s="104" t="s">
        <v>91</v>
      </c>
      <c r="N31" s="103"/>
      <c r="O31" s="106"/>
    </row>
    <row r="32" spans="2:15" x14ac:dyDescent="0.25">
      <c r="B32" s="101"/>
      <c r="C32" s="101"/>
      <c r="D32" s="102"/>
      <c r="E32" s="104"/>
      <c r="F32" s="104"/>
      <c r="G32" s="104"/>
      <c r="H32" s="104"/>
      <c r="I32" s="104"/>
      <c r="J32" s="103"/>
      <c r="K32" s="103"/>
      <c r="L32" s="104"/>
      <c r="M32" s="104" t="s">
        <v>92</v>
      </c>
      <c r="N32" s="103"/>
      <c r="O32" s="106"/>
    </row>
    <row r="33" spans="2:15" x14ac:dyDescent="0.25">
      <c r="B33" s="101"/>
      <c r="C33" s="101"/>
      <c r="D33" s="102"/>
      <c r="E33" s="104"/>
      <c r="F33" s="104"/>
      <c r="G33" s="104"/>
      <c r="H33" s="104"/>
      <c r="I33" s="104"/>
      <c r="J33" s="103"/>
      <c r="K33" s="103"/>
      <c r="L33" s="104"/>
      <c r="M33" s="104"/>
      <c r="N33" s="103"/>
      <c r="O33" s="106"/>
    </row>
    <row r="34" spans="2:15" x14ac:dyDescent="0.25">
      <c r="B34" s="431" t="s">
        <v>93</v>
      </c>
      <c r="C34" s="431"/>
      <c r="D34" s="431"/>
      <c r="E34" s="432" t="s">
        <v>94</v>
      </c>
      <c r="F34" s="432"/>
      <c r="G34" s="432"/>
      <c r="H34" s="125"/>
      <c r="I34" s="125"/>
      <c r="J34" s="126"/>
      <c r="K34" s="433" t="s">
        <v>22</v>
      </c>
      <c r="L34" s="433"/>
      <c r="M34" s="127"/>
      <c r="N34" s="103"/>
      <c r="O34" s="106"/>
    </row>
    <row r="35" spans="2:15" x14ac:dyDescent="0.25">
      <c r="B35" s="71" t="s">
        <v>95</v>
      </c>
      <c r="C35" s="71"/>
      <c r="D35" s="128"/>
      <c r="E35" s="419" t="s">
        <v>96</v>
      </c>
      <c r="F35" s="419"/>
      <c r="G35" s="419"/>
      <c r="H35" s="127"/>
      <c r="I35" s="127"/>
      <c r="J35" s="129"/>
      <c r="K35" s="420" t="s">
        <v>24</v>
      </c>
      <c r="L35" s="420"/>
      <c r="M35" s="127"/>
      <c r="N35" s="103"/>
      <c r="O35" s="106"/>
    </row>
    <row r="36" spans="2:15" x14ac:dyDescent="0.25">
      <c r="B36" s="101"/>
      <c r="C36" s="101"/>
      <c r="D36" s="102"/>
      <c r="E36" s="104"/>
      <c r="F36" s="104"/>
      <c r="G36" s="104"/>
      <c r="H36" s="104"/>
      <c r="I36" s="104"/>
      <c r="J36" s="103"/>
      <c r="K36" s="103"/>
      <c r="L36" s="104"/>
      <c r="M36" s="104"/>
      <c r="N36" s="103"/>
      <c r="O36" s="106"/>
    </row>
  </sheetData>
  <mergeCells count="13">
    <mergeCell ref="E35:G35"/>
    <mergeCell ref="K35:L35"/>
    <mergeCell ref="B1:O1"/>
    <mergeCell ref="B2:O2"/>
    <mergeCell ref="B3:O3"/>
    <mergeCell ref="B4:O4"/>
    <mergeCell ref="B6:O6"/>
    <mergeCell ref="B7:O7"/>
    <mergeCell ref="K9:M9"/>
    <mergeCell ref="B19:O19"/>
    <mergeCell ref="B34:D34"/>
    <mergeCell ref="E34:G34"/>
    <mergeCell ref="K34:L34"/>
  </mergeCells>
  <pageMargins left="0.7" right="0.7" top="0.75" bottom="0.75" header="0.3" footer="0.3"/>
  <pageSetup paperSize="14" scale="67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E8584-6542-40A8-8CCE-C2781D1361F4}">
  <sheetPr>
    <pageSetUpPr fitToPage="1"/>
  </sheetPr>
  <dimension ref="A1:K41"/>
  <sheetViews>
    <sheetView workbookViewId="0">
      <selection activeCell="C36" sqref="C36"/>
    </sheetView>
  </sheetViews>
  <sheetFormatPr defaultColWidth="9.140625" defaultRowHeight="15" x14ac:dyDescent="0.25"/>
  <cols>
    <col min="1" max="1" width="9.85546875" customWidth="1"/>
    <col min="2" max="2" width="6.28515625" customWidth="1"/>
    <col min="3" max="3" width="30.140625" customWidth="1"/>
    <col min="4" max="4" width="27.42578125" customWidth="1"/>
    <col min="5" max="5" width="2.28515625" customWidth="1"/>
    <col min="6" max="6" width="17.140625" customWidth="1"/>
    <col min="7" max="7" width="16.7109375" customWidth="1"/>
    <col min="8" max="8" width="3.85546875" customWidth="1"/>
  </cols>
  <sheetData>
    <row r="1" spans="1:9" x14ac:dyDescent="0.25">
      <c r="A1" s="422" t="s">
        <v>0</v>
      </c>
      <c r="B1" s="422"/>
      <c r="C1" s="422"/>
      <c r="D1" s="422"/>
      <c r="E1" s="422"/>
      <c r="F1" s="422"/>
      <c r="G1" s="422"/>
      <c r="H1" s="133"/>
    </row>
    <row r="2" spans="1:9" x14ac:dyDescent="0.25">
      <c r="A2" s="434" t="s">
        <v>1</v>
      </c>
      <c r="B2" s="434"/>
      <c r="C2" s="434"/>
      <c r="D2" s="434"/>
      <c r="E2" s="434"/>
      <c r="F2" s="434"/>
      <c r="G2" s="434"/>
      <c r="H2" s="133"/>
    </row>
    <row r="3" spans="1:9" x14ac:dyDescent="0.25">
      <c r="A3" s="434" t="s">
        <v>2</v>
      </c>
      <c r="B3" s="434"/>
      <c r="C3" s="434"/>
      <c r="D3" s="434"/>
      <c r="E3" s="434"/>
      <c r="F3" s="434"/>
      <c r="G3" s="434"/>
      <c r="H3" s="133"/>
    </row>
    <row r="4" spans="1:9" ht="15.75" x14ac:dyDescent="0.25">
      <c r="F4" s="1" t="s">
        <v>3</v>
      </c>
      <c r="G4" s="2">
        <v>203640</v>
      </c>
      <c r="H4" s="138"/>
    </row>
    <row r="5" spans="1:9" ht="15.75" x14ac:dyDescent="0.25">
      <c r="A5" s="421"/>
      <c r="B5" s="421"/>
      <c r="C5" s="421"/>
      <c r="D5" s="421"/>
      <c r="E5" s="421"/>
      <c r="F5" s="421"/>
      <c r="G5" s="421"/>
      <c r="H5" s="134"/>
    </row>
    <row r="6" spans="1:9" x14ac:dyDescent="0.25">
      <c r="A6" s="3" t="s">
        <v>4</v>
      </c>
      <c r="B6" s="140"/>
      <c r="C6" s="136" t="s">
        <v>39</v>
      </c>
      <c r="D6" s="4"/>
      <c r="E6" s="132"/>
      <c r="F6" s="1" t="s">
        <v>6</v>
      </c>
      <c r="G6" s="5" t="s">
        <v>104</v>
      </c>
      <c r="H6" s="5"/>
    </row>
    <row r="7" spans="1:9" x14ac:dyDescent="0.25">
      <c r="G7" s="6"/>
      <c r="H7" s="6"/>
    </row>
    <row r="8" spans="1:9" x14ac:dyDescent="0.25">
      <c r="A8" s="438" t="s">
        <v>7</v>
      </c>
      <c r="B8" s="438"/>
      <c r="C8" s="438"/>
      <c r="D8" s="438"/>
      <c r="E8" s="438"/>
      <c r="F8" s="438"/>
      <c r="G8" s="438"/>
      <c r="H8" s="133"/>
    </row>
    <row r="9" spans="1:9" x14ac:dyDescent="0.25">
      <c r="A9" s="3"/>
      <c r="B9" s="133"/>
      <c r="C9" s="133"/>
      <c r="D9" s="133"/>
      <c r="E9" s="133"/>
      <c r="F9" s="133"/>
      <c r="G9" s="133"/>
      <c r="H9" s="133"/>
    </row>
    <row r="10" spans="1:9" ht="15.75" x14ac:dyDescent="0.25">
      <c r="A10" s="7" t="s">
        <v>51</v>
      </c>
      <c r="B10" s="135"/>
      <c r="C10" s="135"/>
      <c r="D10" s="135"/>
      <c r="E10" s="135"/>
      <c r="F10" s="8"/>
      <c r="G10" s="135"/>
      <c r="H10" s="135"/>
      <c r="I10" s="9"/>
    </row>
    <row r="11" spans="1:9" ht="15.75" x14ac:dyDescent="0.25">
      <c r="A11" s="7" t="s">
        <v>107</v>
      </c>
      <c r="B11" s="10"/>
      <c r="C11" s="3"/>
      <c r="D11" s="3"/>
      <c r="E11" s="133"/>
      <c r="F11" s="11"/>
      <c r="G11" s="133"/>
      <c r="H11" s="133"/>
    </row>
    <row r="12" spans="1:9" x14ac:dyDescent="0.25">
      <c r="A12" s="12"/>
      <c r="B12" s="10"/>
      <c r="C12" s="3"/>
      <c r="D12" s="3"/>
      <c r="E12" s="133"/>
      <c r="F12" s="11"/>
      <c r="G12" s="133"/>
      <c r="H12" s="133"/>
    </row>
    <row r="13" spans="1:9" x14ac:dyDescent="0.25">
      <c r="A13" s="131" t="s">
        <v>8</v>
      </c>
      <c r="B13" s="437"/>
      <c r="C13" s="437"/>
      <c r="D13" s="437"/>
      <c r="E13" s="437"/>
      <c r="F13" s="13" t="s">
        <v>9</v>
      </c>
      <c r="G13" s="13" t="s">
        <v>10</v>
      </c>
      <c r="H13" s="132"/>
    </row>
    <row r="14" spans="1:9" ht="15.75" x14ac:dyDescent="0.25">
      <c r="A14" s="14"/>
      <c r="B14" s="15"/>
      <c r="C14" s="15"/>
      <c r="D14" s="15"/>
      <c r="E14" s="16"/>
      <c r="F14" s="17"/>
      <c r="G14" s="18"/>
      <c r="H14" s="19"/>
    </row>
    <row r="15" spans="1:9" ht="15.75" x14ac:dyDescent="0.25">
      <c r="A15" s="20"/>
      <c r="B15" s="19"/>
      <c r="C15" s="19"/>
      <c r="D15" s="21"/>
      <c r="E15" s="22"/>
      <c r="F15" s="23"/>
      <c r="G15" s="24"/>
      <c r="H15" s="19"/>
    </row>
    <row r="16" spans="1:9" ht="15.75" x14ac:dyDescent="0.25">
      <c r="A16" s="20"/>
      <c r="B16" s="19"/>
      <c r="C16" s="19" t="s">
        <v>40</v>
      </c>
      <c r="D16" s="19"/>
      <c r="E16" s="19"/>
      <c r="F16" s="58">
        <v>7099.65</v>
      </c>
      <c r="G16" s="26"/>
      <c r="H16" s="19"/>
    </row>
    <row r="17" spans="1:11" ht="15.75" x14ac:dyDescent="0.25">
      <c r="A17" s="20"/>
      <c r="B17" s="19"/>
      <c r="C17" s="19"/>
      <c r="D17" s="19"/>
      <c r="E17" s="19"/>
      <c r="F17" s="23"/>
      <c r="G17" s="26"/>
      <c r="H17" s="19"/>
    </row>
    <row r="18" spans="1:11" ht="15.75" x14ac:dyDescent="0.25">
      <c r="A18" s="20"/>
      <c r="B18" s="19"/>
      <c r="C18" s="19"/>
      <c r="D18" s="19" t="s">
        <v>41</v>
      </c>
      <c r="E18" s="19"/>
      <c r="F18" s="23"/>
      <c r="G18" s="27">
        <f>SUM(F16:F16)</f>
        <v>7099.65</v>
      </c>
      <c r="H18" s="19"/>
    </row>
    <row r="19" spans="1:11" ht="15.75" x14ac:dyDescent="0.25">
      <c r="A19" s="28"/>
      <c r="B19" s="29"/>
      <c r="C19" s="29"/>
      <c r="D19" s="29"/>
      <c r="E19" s="29"/>
      <c r="F19" s="28"/>
      <c r="G19" s="30"/>
      <c r="H19" s="19"/>
    </row>
    <row r="20" spans="1:11" s="31" customFormat="1" x14ac:dyDescent="0.25">
      <c r="A20"/>
      <c r="B20"/>
      <c r="C20"/>
      <c r="D20"/>
      <c r="E20"/>
      <c r="F20"/>
      <c r="G20"/>
    </row>
    <row r="21" spans="1:11" x14ac:dyDescent="0.25">
      <c r="A21" s="32" t="s">
        <v>12</v>
      </c>
      <c r="D21" s="33" t="s">
        <v>13</v>
      </c>
      <c r="E21" s="32"/>
      <c r="F21" s="32" t="s">
        <v>14</v>
      </c>
      <c r="H21" s="137"/>
    </row>
    <row r="22" spans="1:11" x14ac:dyDescent="0.25">
      <c r="G22" s="34"/>
    </row>
    <row r="24" spans="1:11" x14ac:dyDescent="0.25">
      <c r="A24" s="423" t="s">
        <v>15</v>
      </c>
      <c r="B24" s="423"/>
      <c r="C24" s="423"/>
      <c r="D24" s="136" t="s">
        <v>5</v>
      </c>
      <c r="E24" s="35"/>
      <c r="F24" s="423" t="s">
        <v>16</v>
      </c>
      <c r="G24" s="423"/>
      <c r="H24" s="35"/>
    </row>
    <row r="25" spans="1:11" x14ac:dyDescent="0.25">
      <c r="A25" s="424" t="s">
        <v>17</v>
      </c>
      <c r="B25" s="434"/>
      <c r="C25" s="434"/>
      <c r="D25" s="135" t="s">
        <v>18</v>
      </c>
      <c r="E25" s="133"/>
      <c r="F25" s="434" t="s">
        <v>19</v>
      </c>
      <c r="G25" s="434"/>
      <c r="H25" s="133"/>
      <c r="K25" s="36"/>
    </row>
    <row r="26" spans="1:11" x14ac:dyDescent="0.25">
      <c r="A26" s="133"/>
      <c r="B26" s="133"/>
      <c r="C26" s="133"/>
      <c r="E26" s="133"/>
      <c r="H26" s="133"/>
    </row>
    <row r="27" spans="1:11" x14ac:dyDescent="0.25">
      <c r="H27" s="137"/>
    </row>
    <row r="28" spans="1:11" x14ac:dyDescent="0.25">
      <c r="A28" s="436" t="s">
        <v>20</v>
      </c>
      <c r="B28" s="436"/>
      <c r="C28" s="436"/>
      <c r="D28" s="436"/>
      <c r="E28" s="436"/>
      <c r="F28" s="436"/>
      <c r="G28" s="436"/>
    </row>
    <row r="30" spans="1:11" x14ac:dyDescent="0.25">
      <c r="A30" s="423" t="s">
        <v>21</v>
      </c>
      <c r="B30" s="423"/>
      <c r="C30" s="423"/>
      <c r="E30" s="31"/>
      <c r="F30" s="423" t="s">
        <v>22</v>
      </c>
      <c r="G30" s="423"/>
      <c r="H30" s="35"/>
    </row>
    <row r="31" spans="1:11" x14ac:dyDescent="0.25">
      <c r="A31" s="434" t="s">
        <v>23</v>
      </c>
      <c r="B31" s="434"/>
      <c r="C31" s="434"/>
      <c r="E31" s="31"/>
      <c r="F31" s="424" t="s">
        <v>24</v>
      </c>
      <c r="G31" s="434"/>
      <c r="H31" s="133"/>
    </row>
    <row r="32" spans="1:11" ht="15.75" thickBot="1" x14ac:dyDescent="0.3">
      <c r="A32" s="37"/>
      <c r="B32" s="37"/>
      <c r="C32" s="37"/>
      <c r="D32" s="37"/>
      <c r="E32" s="37"/>
      <c r="F32" s="37"/>
      <c r="G32" s="37"/>
    </row>
    <row r="33" spans="1:8" x14ac:dyDescent="0.25">
      <c r="A33" s="10" t="s">
        <v>108</v>
      </c>
      <c r="B33" s="3"/>
      <c r="C33" s="3"/>
      <c r="D33" s="3"/>
      <c r="E33" s="3"/>
      <c r="F33" s="10"/>
      <c r="G33" s="3"/>
      <c r="H33" s="3"/>
    </row>
    <row r="34" spans="1:8" ht="16.5" thickBot="1" x14ac:dyDescent="0.3">
      <c r="A34" s="38" t="s">
        <v>109</v>
      </c>
      <c r="D34" s="63" t="s">
        <v>110</v>
      </c>
    </row>
    <row r="35" spans="1:8" x14ac:dyDescent="0.25">
      <c r="A35" s="9" t="s">
        <v>105</v>
      </c>
    </row>
    <row r="36" spans="1:8" x14ac:dyDescent="0.25">
      <c r="A36" s="9"/>
    </row>
    <row r="37" spans="1:8" ht="15.75" thickBot="1" x14ac:dyDescent="0.3">
      <c r="F37" s="435"/>
      <c r="G37" s="435"/>
    </row>
    <row r="38" spans="1:8" x14ac:dyDescent="0.25">
      <c r="D38" t="s">
        <v>25</v>
      </c>
      <c r="F38" s="434" t="s">
        <v>26</v>
      </c>
      <c r="G38" s="434"/>
      <c r="H38" s="133"/>
    </row>
    <row r="39" spans="1:8" x14ac:dyDescent="0.25">
      <c r="G39" s="133"/>
    </row>
    <row r="40" spans="1:8" x14ac:dyDescent="0.25">
      <c r="G40" s="133"/>
    </row>
    <row r="41" spans="1:8" x14ac:dyDescent="0.25">
      <c r="F41" s="36"/>
      <c r="G41" s="133"/>
    </row>
  </sheetData>
  <mergeCells count="17">
    <mergeCell ref="B13:E13"/>
    <mergeCell ref="A1:G1"/>
    <mergeCell ref="A2:G2"/>
    <mergeCell ref="A3:G3"/>
    <mergeCell ref="A5:G5"/>
    <mergeCell ref="A8:G8"/>
    <mergeCell ref="A31:C31"/>
    <mergeCell ref="F31:G31"/>
    <mergeCell ref="F37:G37"/>
    <mergeCell ref="F38:G38"/>
    <mergeCell ref="A24:C24"/>
    <mergeCell ref="F24:G24"/>
    <mergeCell ref="A25:C25"/>
    <mergeCell ref="F25:G25"/>
    <mergeCell ref="A28:G28"/>
    <mergeCell ref="A30:C30"/>
    <mergeCell ref="F30:G30"/>
  </mergeCells>
  <pageMargins left="0.7" right="0.7" top="0.75" bottom="0.75" header="0.3" footer="0.3"/>
  <pageSetup paperSize="9" scale="79" fitToHeight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EC81-C15B-4BA1-8CF2-770685BBB256}">
  <sheetPr>
    <pageSetUpPr fitToPage="1"/>
  </sheetPr>
  <dimension ref="B2:D37"/>
  <sheetViews>
    <sheetView topLeftCell="A4" workbookViewId="0">
      <selection activeCell="E13" sqref="E13"/>
    </sheetView>
  </sheetViews>
  <sheetFormatPr defaultRowHeight="15.75" x14ac:dyDescent="0.25"/>
  <cols>
    <col min="2" max="2" width="37.140625" style="45" customWidth="1"/>
    <col min="3" max="3" width="27.42578125" style="45" customWidth="1"/>
    <col min="4" max="4" width="29.7109375" style="69" customWidth="1"/>
  </cols>
  <sheetData>
    <row r="2" spans="2:4" x14ac:dyDescent="0.25">
      <c r="B2" s="439" t="s">
        <v>42</v>
      </c>
      <c r="C2" s="439"/>
      <c r="D2" s="439"/>
    </row>
    <row r="3" spans="2:4" x14ac:dyDescent="0.25">
      <c r="B3" s="439" t="s">
        <v>43</v>
      </c>
      <c r="C3" s="439"/>
      <c r="D3" s="439"/>
    </row>
    <row r="4" spans="2:4" x14ac:dyDescent="0.25">
      <c r="B4" s="439" t="s">
        <v>44</v>
      </c>
      <c r="C4" s="439"/>
      <c r="D4" s="439"/>
    </row>
    <row r="5" spans="2:4" x14ac:dyDescent="0.25">
      <c r="B5" s="439" t="s">
        <v>106</v>
      </c>
      <c r="C5" s="439"/>
      <c r="D5" s="439"/>
    </row>
    <row r="9" spans="2:4" x14ac:dyDescent="0.25">
      <c r="B9" s="64" t="s">
        <v>45</v>
      </c>
      <c r="C9" s="64" t="s">
        <v>46</v>
      </c>
      <c r="D9" s="139" t="s">
        <v>47</v>
      </c>
    </row>
    <row r="10" spans="2:4" x14ac:dyDescent="0.25">
      <c r="D10" s="49"/>
    </row>
    <row r="11" spans="2:4" x14ac:dyDescent="0.25">
      <c r="B11" s="19" t="s">
        <v>48</v>
      </c>
      <c r="C11" s="65">
        <v>510000000360713</v>
      </c>
      <c r="D11" s="48">
        <v>735.99</v>
      </c>
    </row>
    <row r="12" spans="2:4" x14ac:dyDescent="0.25">
      <c r="B12" s="19" t="s">
        <v>49</v>
      </c>
      <c r="C12" s="66">
        <v>510000000360902</v>
      </c>
      <c r="D12" s="49">
        <v>5006.53</v>
      </c>
    </row>
    <row r="13" spans="2:4" x14ac:dyDescent="0.25">
      <c r="B13" s="19" t="s">
        <v>50</v>
      </c>
      <c r="C13" s="67">
        <v>510000000347988</v>
      </c>
      <c r="D13" s="52">
        <v>1357.13</v>
      </c>
    </row>
    <row r="14" spans="2:4" x14ac:dyDescent="0.25">
      <c r="B14" s="61" t="s">
        <v>32</v>
      </c>
      <c r="C14" s="61"/>
      <c r="D14" s="68">
        <f>SUM(D11:D13)</f>
        <v>7099.65</v>
      </c>
    </row>
    <row r="19" spans="2:3" x14ac:dyDescent="0.25">
      <c r="B19" s="19" t="s">
        <v>33</v>
      </c>
      <c r="C19" s="19"/>
    </row>
    <row r="20" spans="2:3" x14ac:dyDescent="0.25">
      <c r="B20" s="19"/>
      <c r="C20" s="19"/>
    </row>
    <row r="21" spans="2:3" x14ac:dyDescent="0.25">
      <c r="B21" s="19"/>
      <c r="C21" s="19"/>
    </row>
    <row r="22" spans="2:3" ht="15" x14ac:dyDescent="0.25">
      <c r="B22" s="136" t="s">
        <v>15</v>
      </c>
      <c r="C22" s="136"/>
    </row>
    <row r="23" spans="2:3" ht="15" x14ac:dyDescent="0.25">
      <c r="B23" s="135" t="s">
        <v>17</v>
      </c>
      <c r="C23" s="135"/>
    </row>
    <row r="24" spans="2:3" x14ac:dyDescent="0.25">
      <c r="B24" s="19"/>
      <c r="C24" s="19"/>
    </row>
    <row r="25" spans="2:3" x14ac:dyDescent="0.25">
      <c r="B25" s="19"/>
      <c r="C25" s="19"/>
    </row>
    <row r="26" spans="2:3" x14ac:dyDescent="0.25">
      <c r="B26" s="49" t="s">
        <v>34</v>
      </c>
      <c r="C26" s="49"/>
    </row>
    <row r="29" spans="2:3" ht="15" x14ac:dyDescent="0.25">
      <c r="B29" s="136" t="s">
        <v>5</v>
      </c>
      <c r="C29" s="136"/>
    </row>
    <row r="30" spans="2:3" ht="15" x14ac:dyDescent="0.25">
      <c r="B30" s="135" t="s">
        <v>18</v>
      </c>
      <c r="C30" s="135"/>
    </row>
    <row r="33" spans="2:2" x14ac:dyDescent="0.25">
      <c r="B33" s="49" t="s">
        <v>35</v>
      </c>
    </row>
    <row r="36" spans="2:2" x14ac:dyDescent="0.25">
      <c r="B36" s="136" t="s">
        <v>22</v>
      </c>
    </row>
    <row r="37" spans="2:2" x14ac:dyDescent="0.25">
      <c r="B37" s="135" t="s">
        <v>24</v>
      </c>
    </row>
  </sheetData>
  <mergeCells count="4">
    <mergeCell ref="B2:D2"/>
    <mergeCell ref="B3:D3"/>
    <mergeCell ref="B4:D4"/>
    <mergeCell ref="B5:D5"/>
  </mergeCells>
  <pageMargins left="0.7" right="0.7" top="0.75" bottom="0.75" header="0.3" footer="0.3"/>
  <pageSetup paperSize="9" scale="84" fitToHeight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692F5-1B95-4F97-BBFF-177CD4309D0E}">
  <sheetPr>
    <pageSetUpPr fitToPage="1"/>
  </sheetPr>
  <dimension ref="A1:K39"/>
  <sheetViews>
    <sheetView topLeftCell="A4" workbookViewId="0">
      <selection activeCell="D37" sqref="D37"/>
    </sheetView>
  </sheetViews>
  <sheetFormatPr defaultColWidth="9.140625" defaultRowHeight="15" x14ac:dyDescent="0.25"/>
  <cols>
    <col min="1" max="1" width="9.85546875" customWidth="1"/>
    <col min="2" max="2" width="6.28515625" customWidth="1"/>
    <col min="3" max="3" width="27.7109375" customWidth="1"/>
    <col min="4" max="4" width="27.42578125" customWidth="1"/>
    <col min="5" max="5" width="2.28515625" customWidth="1"/>
    <col min="6" max="6" width="17.140625" customWidth="1"/>
    <col min="7" max="7" width="16.7109375" customWidth="1"/>
    <col min="8" max="8" width="3.85546875" customWidth="1"/>
  </cols>
  <sheetData>
    <row r="1" spans="1:10" x14ac:dyDescent="0.25">
      <c r="A1" s="422" t="s">
        <v>0</v>
      </c>
      <c r="B1" s="422"/>
      <c r="C1" s="422"/>
      <c r="D1" s="422"/>
      <c r="E1" s="422"/>
      <c r="F1" s="422"/>
      <c r="G1" s="422"/>
      <c r="H1" s="141"/>
    </row>
    <row r="2" spans="1:10" x14ac:dyDescent="0.25">
      <c r="A2" s="434" t="s">
        <v>1</v>
      </c>
      <c r="B2" s="434"/>
      <c r="C2" s="434"/>
      <c r="D2" s="434"/>
      <c r="E2" s="434"/>
      <c r="F2" s="434"/>
      <c r="G2" s="434"/>
      <c r="H2" s="141"/>
    </row>
    <row r="3" spans="1:10" x14ac:dyDescent="0.25">
      <c r="A3" s="434" t="s">
        <v>2</v>
      </c>
      <c r="B3" s="434"/>
      <c r="C3" s="434"/>
      <c r="D3" s="434"/>
      <c r="E3" s="434"/>
      <c r="F3" s="434"/>
      <c r="G3" s="434"/>
      <c r="H3" s="141"/>
    </row>
    <row r="4" spans="1:10" ht="15.75" x14ac:dyDescent="0.25">
      <c r="F4" s="1" t="s">
        <v>3</v>
      </c>
      <c r="G4" s="2">
        <v>203641</v>
      </c>
      <c r="H4" s="148"/>
    </row>
    <row r="5" spans="1:10" ht="15.75" x14ac:dyDescent="0.25">
      <c r="A5" s="421"/>
      <c r="B5" s="421"/>
      <c r="C5" s="421"/>
      <c r="D5" s="421"/>
      <c r="E5" s="421"/>
      <c r="F5" s="421"/>
      <c r="G5" s="421"/>
      <c r="H5" s="147"/>
    </row>
    <row r="6" spans="1:10" x14ac:dyDescent="0.25">
      <c r="A6" s="3" t="s">
        <v>4</v>
      </c>
      <c r="B6" s="149"/>
      <c r="C6" s="57" t="s">
        <v>111</v>
      </c>
      <c r="D6" s="4"/>
      <c r="E6" s="146"/>
      <c r="F6" s="1" t="s">
        <v>6</v>
      </c>
      <c r="G6" s="5" t="s">
        <v>104</v>
      </c>
      <c r="H6" s="5"/>
    </row>
    <row r="7" spans="1:10" x14ac:dyDescent="0.25">
      <c r="G7" s="6"/>
      <c r="H7" s="6"/>
    </row>
    <row r="8" spans="1:10" x14ac:dyDescent="0.25">
      <c r="A8" s="438" t="s">
        <v>7</v>
      </c>
      <c r="B8" s="438"/>
      <c r="C8" s="438"/>
      <c r="D8" s="438"/>
      <c r="E8" s="438"/>
      <c r="F8" s="438"/>
      <c r="G8" s="438"/>
      <c r="H8" s="141"/>
    </row>
    <row r="9" spans="1:10" x14ac:dyDescent="0.25">
      <c r="A9" s="3"/>
      <c r="B9" s="141"/>
      <c r="C9" s="141"/>
      <c r="D9" s="141"/>
      <c r="E9" s="141"/>
      <c r="F9" s="141"/>
      <c r="G9" s="141"/>
      <c r="H9" s="141"/>
      <c r="J9" t="s">
        <v>38</v>
      </c>
    </row>
    <row r="10" spans="1:10" ht="15.75" x14ac:dyDescent="0.25">
      <c r="A10" s="7" t="s">
        <v>113</v>
      </c>
      <c r="B10" s="142"/>
      <c r="C10" s="142"/>
      <c r="D10" s="142"/>
      <c r="E10" s="142"/>
      <c r="F10" s="8"/>
      <c r="G10" s="142"/>
      <c r="H10" s="142"/>
      <c r="I10" s="9"/>
    </row>
    <row r="11" spans="1:10" x14ac:dyDescent="0.25">
      <c r="A11" s="12"/>
      <c r="B11" s="10"/>
      <c r="C11" s="3"/>
      <c r="D11" s="3"/>
      <c r="E11" s="141"/>
      <c r="F11" s="11"/>
      <c r="G11" s="141"/>
      <c r="H11" s="141"/>
    </row>
    <row r="12" spans="1:10" x14ac:dyDescent="0.25">
      <c r="A12" s="145" t="s">
        <v>8</v>
      </c>
      <c r="B12" s="437"/>
      <c r="C12" s="437"/>
      <c r="D12" s="437"/>
      <c r="E12" s="437"/>
      <c r="F12" s="13" t="s">
        <v>9</v>
      </c>
      <c r="G12" s="13" t="s">
        <v>10</v>
      </c>
      <c r="H12" s="146"/>
    </row>
    <row r="13" spans="1:10" ht="15.75" x14ac:dyDescent="0.25">
      <c r="A13" s="14"/>
      <c r="B13" s="15"/>
      <c r="C13" s="15"/>
      <c r="D13" s="15"/>
      <c r="E13" s="16"/>
      <c r="F13" s="17"/>
      <c r="G13" s="18"/>
      <c r="H13" s="19"/>
    </row>
    <row r="14" spans="1:10" ht="15.75" x14ac:dyDescent="0.25">
      <c r="A14" s="20"/>
      <c r="B14" s="19"/>
      <c r="C14" s="19" t="s">
        <v>112</v>
      </c>
      <c r="D14" s="21"/>
      <c r="E14" s="22"/>
      <c r="F14" s="25">
        <v>3033.94</v>
      </c>
      <c r="G14" s="24"/>
      <c r="H14" s="19"/>
    </row>
    <row r="15" spans="1:10" ht="15.75" x14ac:dyDescent="0.25">
      <c r="A15" s="20"/>
      <c r="B15" s="19"/>
      <c r="C15" s="19"/>
      <c r="D15" s="19"/>
      <c r="E15" s="19"/>
      <c r="F15" s="25"/>
      <c r="G15" s="26"/>
      <c r="H15" s="19"/>
    </row>
    <row r="16" spans="1:10" ht="15.75" x14ac:dyDescent="0.25">
      <c r="A16" s="20"/>
      <c r="B16" s="19"/>
      <c r="C16" s="19"/>
      <c r="D16" s="19" t="s">
        <v>36</v>
      </c>
      <c r="E16" s="19"/>
      <c r="F16" s="23"/>
      <c r="G16" s="27">
        <f>SUM(F14:F14)</f>
        <v>3033.94</v>
      </c>
      <c r="H16" s="19"/>
    </row>
    <row r="17" spans="1:11" ht="15.75" x14ac:dyDescent="0.25">
      <c r="A17" s="28"/>
      <c r="B17" s="29"/>
      <c r="C17" s="29"/>
      <c r="D17" s="29"/>
      <c r="E17" s="29"/>
      <c r="F17" s="28"/>
      <c r="G17" s="30"/>
      <c r="H17" s="19"/>
    </row>
    <row r="18" spans="1:11" s="31" customFormat="1" x14ac:dyDescent="0.25">
      <c r="A18"/>
      <c r="B18"/>
      <c r="C18"/>
      <c r="D18"/>
      <c r="E18"/>
      <c r="F18"/>
      <c r="G18"/>
    </row>
    <row r="19" spans="1:11" x14ac:dyDescent="0.25">
      <c r="A19" s="32" t="s">
        <v>12</v>
      </c>
      <c r="D19" s="33" t="s">
        <v>13</v>
      </c>
      <c r="E19" s="32"/>
      <c r="F19" s="32" t="s">
        <v>14</v>
      </c>
      <c r="H19" s="144"/>
    </row>
    <row r="20" spans="1:11" x14ac:dyDescent="0.25">
      <c r="G20" s="34"/>
    </row>
    <row r="22" spans="1:11" x14ac:dyDescent="0.25">
      <c r="A22" s="423" t="s">
        <v>15</v>
      </c>
      <c r="B22" s="423"/>
      <c r="C22" s="423"/>
      <c r="D22" s="143" t="s">
        <v>5</v>
      </c>
      <c r="E22" s="35"/>
      <c r="F22" s="423" t="s">
        <v>16</v>
      </c>
      <c r="G22" s="423"/>
      <c r="H22" s="35"/>
    </row>
    <row r="23" spans="1:11" x14ac:dyDescent="0.25">
      <c r="A23" s="424" t="s">
        <v>17</v>
      </c>
      <c r="B23" s="434"/>
      <c r="C23" s="434"/>
      <c r="D23" s="142" t="s">
        <v>18</v>
      </c>
      <c r="E23" s="141"/>
      <c r="F23" s="434" t="s">
        <v>19</v>
      </c>
      <c r="G23" s="434"/>
      <c r="H23" s="141"/>
      <c r="K23" s="36"/>
    </row>
    <row r="24" spans="1:11" x14ac:dyDescent="0.25">
      <c r="A24" s="141"/>
      <c r="B24" s="141"/>
      <c r="C24" s="141"/>
      <c r="E24" s="141"/>
      <c r="G24" t="s">
        <v>38</v>
      </c>
      <c r="H24" s="141"/>
    </row>
    <row r="25" spans="1:11" x14ac:dyDescent="0.25">
      <c r="H25" s="144"/>
    </row>
    <row r="26" spans="1:11" x14ac:dyDescent="0.25">
      <c r="A26" s="436" t="s">
        <v>20</v>
      </c>
      <c r="B26" s="436"/>
      <c r="C26" s="436"/>
      <c r="D26" s="436"/>
      <c r="E26" s="436"/>
      <c r="F26" s="436"/>
      <c r="G26" s="436"/>
    </row>
    <row r="28" spans="1:11" x14ac:dyDescent="0.25">
      <c r="A28" s="423" t="s">
        <v>21</v>
      </c>
      <c r="B28" s="423"/>
      <c r="C28" s="423"/>
      <c r="E28" s="31"/>
      <c r="F28" s="423" t="s">
        <v>22</v>
      </c>
      <c r="G28" s="423"/>
      <c r="H28" s="35"/>
    </row>
    <row r="29" spans="1:11" x14ac:dyDescent="0.25">
      <c r="A29" s="434" t="s">
        <v>23</v>
      </c>
      <c r="B29" s="434"/>
      <c r="C29" s="434"/>
      <c r="E29" s="31"/>
      <c r="F29" s="424" t="s">
        <v>24</v>
      </c>
      <c r="G29" s="434"/>
      <c r="H29" s="141"/>
    </row>
    <row r="30" spans="1:11" ht="15.75" thickBot="1" x14ac:dyDescent="0.3">
      <c r="A30" s="37"/>
      <c r="B30" s="37"/>
      <c r="C30" s="37"/>
      <c r="D30" s="37"/>
      <c r="E30" s="37"/>
      <c r="F30" s="37"/>
      <c r="G30" s="37"/>
    </row>
    <row r="31" spans="1:11" x14ac:dyDescent="0.25">
      <c r="A31" s="10" t="s">
        <v>114</v>
      </c>
      <c r="B31" s="3"/>
      <c r="C31" s="3"/>
      <c r="D31" s="3"/>
      <c r="E31" s="3"/>
      <c r="F31" s="10"/>
      <c r="G31" s="3"/>
      <c r="H31" s="3"/>
    </row>
    <row r="32" spans="1:11" ht="15.75" x14ac:dyDescent="0.25">
      <c r="A32" s="38" t="s">
        <v>115</v>
      </c>
      <c r="D32" s="59"/>
    </row>
    <row r="33" spans="1:8" x14ac:dyDescent="0.25">
      <c r="A33" s="9" t="s">
        <v>105</v>
      </c>
    </row>
    <row r="34" spans="1:8" x14ac:dyDescent="0.25">
      <c r="A34" s="9"/>
    </row>
    <row r="35" spans="1:8" ht="15.75" thickBot="1" x14ac:dyDescent="0.3">
      <c r="F35" s="435"/>
      <c r="G35" s="435"/>
    </row>
    <row r="36" spans="1:8" x14ac:dyDescent="0.25">
      <c r="D36" t="s">
        <v>25</v>
      </c>
      <c r="F36" s="434" t="s">
        <v>26</v>
      </c>
      <c r="G36" s="434"/>
      <c r="H36" s="141"/>
    </row>
    <row r="37" spans="1:8" x14ac:dyDescent="0.25">
      <c r="G37" s="141"/>
    </row>
    <row r="38" spans="1:8" x14ac:dyDescent="0.25">
      <c r="G38" s="141"/>
    </row>
    <row r="39" spans="1:8" x14ac:dyDescent="0.25">
      <c r="F39" s="36"/>
      <c r="G39" s="141"/>
    </row>
  </sheetData>
  <mergeCells count="17">
    <mergeCell ref="A29:C29"/>
    <mergeCell ref="F29:G29"/>
    <mergeCell ref="F35:G35"/>
    <mergeCell ref="F36:G36"/>
    <mergeCell ref="A22:C22"/>
    <mergeCell ref="F22:G22"/>
    <mergeCell ref="A23:C23"/>
    <mergeCell ref="F23:G23"/>
    <mergeCell ref="A26:G26"/>
    <mergeCell ref="A28:C28"/>
    <mergeCell ref="F28:G28"/>
    <mergeCell ref="B12:E12"/>
    <mergeCell ref="A1:G1"/>
    <mergeCell ref="A2:G2"/>
    <mergeCell ref="A3:G3"/>
    <mergeCell ref="A5:G5"/>
    <mergeCell ref="A8:G8"/>
  </mergeCells>
  <pageMargins left="0.7" right="0.7" top="0.75" bottom="0.75" header="0.3" footer="0.3"/>
  <pageSetup paperSize="9" scale="67" fitToHeight="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6ADF-0D39-4538-89C3-CA8B3E4D3E00}">
  <sheetPr>
    <pageSetUpPr fitToPage="1"/>
  </sheetPr>
  <dimension ref="A1:K45"/>
  <sheetViews>
    <sheetView workbookViewId="0">
      <selection sqref="A1:G42"/>
    </sheetView>
  </sheetViews>
  <sheetFormatPr defaultColWidth="9.140625" defaultRowHeight="15" x14ac:dyDescent="0.25"/>
  <cols>
    <col min="1" max="1" width="9.85546875" customWidth="1"/>
    <col min="2" max="2" width="5.85546875" customWidth="1"/>
    <col min="3" max="3" width="27.7109375" customWidth="1"/>
    <col min="4" max="4" width="27.42578125" customWidth="1"/>
    <col min="5" max="5" width="2.28515625" customWidth="1"/>
    <col min="6" max="6" width="17.140625" customWidth="1"/>
    <col min="7" max="7" width="16.7109375" customWidth="1"/>
    <col min="8" max="8" width="3.85546875" customWidth="1"/>
  </cols>
  <sheetData>
    <row r="1" spans="1:9" x14ac:dyDescent="0.25">
      <c r="A1" s="422" t="s">
        <v>0</v>
      </c>
      <c r="B1" s="422"/>
      <c r="C1" s="422"/>
      <c r="D1" s="422"/>
      <c r="E1" s="422"/>
      <c r="F1" s="422"/>
      <c r="G1" s="422"/>
      <c r="H1" s="151"/>
    </row>
    <row r="2" spans="1:9" x14ac:dyDescent="0.25">
      <c r="A2" s="434" t="s">
        <v>1</v>
      </c>
      <c r="B2" s="434"/>
      <c r="C2" s="434"/>
      <c r="D2" s="434"/>
      <c r="E2" s="434"/>
      <c r="F2" s="434"/>
      <c r="G2" s="434"/>
      <c r="H2" s="151"/>
    </row>
    <row r="3" spans="1:9" x14ac:dyDescent="0.25">
      <c r="A3" s="434" t="s">
        <v>2</v>
      </c>
      <c r="B3" s="434"/>
      <c r="C3" s="434"/>
      <c r="D3" s="434"/>
      <c r="E3" s="434"/>
      <c r="F3" s="434"/>
      <c r="G3" s="434"/>
      <c r="H3" s="151"/>
    </row>
    <row r="4" spans="1:9" ht="15.75" x14ac:dyDescent="0.25">
      <c r="F4" s="1" t="s">
        <v>3</v>
      </c>
      <c r="G4" s="2">
        <v>203643</v>
      </c>
      <c r="H4" s="158"/>
    </row>
    <row r="5" spans="1:9" ht="15.75" x14ac:dyDescent="0.25">
      <c r="A5" s="421"/>
      <c r="B5" s="421"/>
      <c r="C5" s="421"/>
      <c r="D5" s="421"/>
      <c r="E5" s="421"/>
      <c r="F5" s="421"/>
      <c r="G5" s="421"/>
      <c r="H5" s="157"/>
    </row>
    <row r="6" spans="1:9" x14ac:dyDescent="0.25">
      <c r="A6" s="3" t="s">
        <v>4</v>
      </c>
      <c r="B6" s="159"/>
      <c r="C6" s="153" t="s">
        <v>99</v>
      </c>
      <c r="D6" s="4"/>
      <c r="E6" s="156"/>
      <c r="F6" s="1" t="s">
        <v>6</v>
      </c>
      <c r="G6" s="5" t="s">
        <v>121</v>
      </c>
      <c r="H6" s="5"/>
    </row>
    <row r="7" spans="1:9" x14ac:dyDescent="0.25">
      <c r="G7" s="6"/>
      <c r="H7" s="6"/>
    </row>
    <row r="8" spans="1:9" x14ac:dyDescent="0.25">
      <c r="A8" s="438" t="s">
        <v>7</v>
      </c>
      <c r="B8" s="438"/>
      <c r="C8" s="438"/>
      <c r="D8" s="438"/>
      <c r="E8" s="438"/>
      <c r="F8" s="438"/>
      <c r="G8" s="438"/>
      <c r="H8" s="151"/>
    </row>
    <row r="9" spans="1:9" x14ac:dyDescent="0.25">
      <c r="A9" s="3"/>
      <c r="B9" s="151"/>
      <c r="C9" s="151"/>
      <c r="D9" s="151"/>
      <c r="E9" s="151"/>
      <c r="F9" s="151"/>
      <c r="G9" s="151"/>
      <c r="H9" s="151"/>
    </row>
    <row r="10" spans="1:9" ht="15.75" x14ac:dyDescent="0.25">
      <c r="A10" s="7" t="s">
        <v>122</v>
      </c>
      <c r="B10" s="152"/>
      <c r="C10" s="152"/>
      <c r="D10" s="152"/>
      <c r="E10" s="152"/>
      <c r="F10" s="8"/>
      <c r="G10" s="152"/>
      <c r="H10" s="152"/>
      <c r="I10" s="9"/>
    </row>
    <row r="11" spans="1:9" x14ac:dyDescent="0.25">
      <c r="A11" s="12"/>
      <c r="B11" s="10"/>
      <c r="C11" s="3"/>
      <c r="D11" s="3"/>
      <c r="E11" s="151"/>
      <c r="F11" s="11"/>
      <c r="G11" s="151"/>
      <c r="H11" s="151"/>
    </row>
    <row r="12" spans="1:9" x14ac:dyDescent="0.25">
      <c r="A12" s="155" t="s">
        <v>8</v>
      </c>
      <c r="B12" s="437"/>
      <c r="C12" s="437"/>
      <c r="D12" s="437"/>
      <c r="E12" s="437"/>
      <c r="F12" s="13" t="s">
        <v>9</v>
      </c>
      <c r="G12" s="13" t="s">
        <v>10</v>
      </c>
      <c r="H12" s="156"/>
    </row>
    <row r="13" spans="1:9" ht="15.75" x14ac:dyDescent="0.25">
      <c r="A13" s="14"/>
      <c r="B13" s="15"/>
      <c r="C13" s="15"/>
      <c r="D13" s="15"/>
      <c r="E13" s="16"/>
      <c r="F13" s="17"/>
      <c r="G13" s="18"/>
      <c r="H13" s="19"/>
    </row>
    <row r="14" spans="1:9" ht="15.75" x14ac:dyDescent="0.25">
      <c r="A14" s="20"/>
      <c r="B14" s="19"/>
      <c r="C14" s="19"/>
      <c r="D14" s="21"/>
      <c r="E14" s="22"/>
      <c r="F14" s="23"/>
      <c r="G14" s="24"/>
      <c r="H14" s="19"/>
    </row>
    <row r="15" spans="1:9" ht="15.75" x14ac:dyDescent="0.25">
      <c r="A15" s="20"/>
      <c r="B15" s="19"/>
      <c r="C15" s="19" t="s">
        <v>100</v>
      </c>
      <c r="D15" s="19"/>
      <c r="E15" s="19"/>
      <c r="F15" s="23">
        <v>56703.5</v>
      </c>
      <c r="G15" s="26"/>
      <c r="H15" s="19"/>
    </row>
    <row r="16" spans="1:9" ht="15.75" x14ac:dyDescent="0.25">
      <c r="A16" s="20"/>
      <c r="B16" s="19"/>
      <c r="C16" s="19" t="s">
        <v>101</v>
      </c>
      <c r="D16" s="19"/>
      <c r="E16" s="19"/>
      <c r="F16" s="23">
        <v>12500</v>
      </c>
      <c r="G16" s="26"/>
      <c r="H16" s="19"/>
    </row>
    <row r="17" spans="1:11" ht="15.75" x14ac:dyDescent="0.25">
      <c r="A17" s="20"/>
      <c r="B17" s="19"/>
      <c r="C17" s="19" t="s">
        <v>102</v>
      </c>
      <c r="D17" s="19"/>
      <c r="E17" s="19"/>
      <c r="F17" s="23">
        <v>2250</v>
      </c>
      <c r="G17" s="26"/>
      <c r="H17" s="19"/>
    </row>
    <row r="18" spans="1:11" ht="15.75" x14ac:dyDescent="0.25">
      <c r="A18" s="20"/>
      <c r="B18" s="19"/>
      <c r="C18" s="19"/>
      <c r="D18" s="19"/>
      <c r="E18" s="19"/>
      <c r="F18" s="23"/>
      <c r="G18" s="26"/>
      <c r="H18" s="19"/>
    </row>
    <row r="19" spans="1:11" ht="15.75" x14ac:dyDescent="0.25">
      <c r="A19" s="20"/>
      <c r="B19" s="19"/>
      <c r="C19" s="19"/>
      <c r="D19" s="19" t="s">
        <v>116</v>
      </c>
      <c r="E19" s="19"/>
      <c r="F19" s="160"/>
      <c r="G19" s="23">
        <v>5225</v>
      </c>
      <c r="H19" s="19"/>
    </row>
    <row r="20" spans="1:11" ht="15.75" x14ac:dyDescent="0.25">
      <c r="A20" s="20"/>
      <c r="B20" s="19"/>
      <c r="C20" s="19"/>
      <c r="D20" s="19" t="s">
        <v>117</v>
      </c>
      <c r="E20" s="19"/>
      <c r="F20" s="160"/>
      <c r="G20" s="23">
        <v>1200</v>
      </c>
      <c r="H20" s="19"/>
    </row>
    <row r="21" spans="1:11" ht="15.75" x14ac:dyDescent="0.25">
      <c r="A21" s="20"/>
      <c r="B21" s="19"/>
      <c r="C21" s="19"/>
      <c r="D21" s="19" t="s">
        <v>118</v>
      </c>
      <c r="E21" s="19"/>
      <c r="F21" s="160"/>
      <c r="G21" s="23">
        <v>2119.21</v>
      </c>
      <c r="H21" s="19"/>
    </row>
    <row r="22" spans="1:11" ht="15.75" x14ac:dyDescent="0.25">
      <c r="A22" s="20"/>
      <c r="B22" s="19"/>
      <c r="C22" s="19"/>
      <c r="D22" s="19" t="s">
        <v>36</v>
      </c>
      <c r="E22" s="19"/>
      <c r="F22" s="23"/>
      <c r="G22" s="27">
        <f>(F15+F16+F17)-G19-G20-G21</f>
        <v>62909.29</v>
      </c>
      <c r="H22" s="19"/>
    </row>
    <row r="23" spans="1:11" ht="15.75" x14ac:dyDescent="0.25">
      <c r="A23" s="28"/>
      <c r="B23" s="29"/>
      <c r="C23" s="29"/>
      <c r="D23" s="29"/>
      <c r="E23" s="29"/>
      <c r="F23" s="28"/>
      <c r="G23" s="30"/>
      <c r="H23" s="19"/>
    </row>
    <row r="24" spans="1:11" s="31" customFormat="1" x14ac:dyDescent="0.25">
      <c r="A24"/>
      <c r="B24"/>
      <c r="C24"/>
      <c r="D24"/>
      <c r="E24"/>
      <c r="F24"/>
      <c r="G24"/>
    </row>
    <row r="25" spans="1:11" x14ac:dyDescent="0.25">
      <c r="A25" s="130" t="s">
        <v>12</v>
      </c>
      <c r="D25" s="33" t="s">
        <v>13</v>
      </c>
      <c r="E25" s="32"/>
      <c r="F25" s="32" t="s">
        <v>14</v>
      </c>
      <c r="H25" s="154"/>
    </row>
    <row r="26" spans="1:11" x14ac:dyDescent="0.25">
      <c r="G26" s="34"/>
    </row>
    <row r="28" spans="1:11" x14ac:dyDescent="0.25">
      <c r="A28" s="423" t="s">
        <v>15</v>
      </c>
      <c r="B28" s="423"/>
      <c r="C28" s="423"/>
      <c r="D28" s="153" t="s">
        <v>5</v>
      </c>
      <c r="E28" s="35"/>
      <c r="F28" s="423" t="s">
        <v>16</v>
      </c>
      <c r="G28" s="423"/>
      <c r="H28" s="35"/>
    </row>
    <row r="29" spans="1:11" x14ac:dyDescent="0.25">
      <c r="A29" s="424" t="s">
        <v>17</v>
      </c>
      <c r="B29" s="434"/>
      <c r="C29" s="434"/>
      <c r="D29" s="152" t="s">
        <v>18</v>
      </c>
      <c r="E29" s="151"/>
      <c r="F29" s="434" t="s">
        <v>19</v>
      </c>
      <c r="G29" s="434"/>
      <c r="H29" s="151"/>
      <c r="K29" s="36"/>
    </row>
    <row r="30" spans="1:11" x14ac:dyDescent="0.25">
      <c r="A30" s="151"/>
      <c r="B30" s="151"/>
      <c r="C30" s="151"/>
      <c r="E30" s="151"/>
      <c r="H30" s="151"/>
    </row>
    <row r="31" spans="1:11" x14ac:dyDescent="0.25">
      <c r="H31" s="154"/>
    </row>
    <row r="32" spans="1:11" x14ac:dyDescent="0.25">
      <c r="A32" s="436" t="s">
        <v>20</v>
      </c>
      <c r="B32" s="436"/>
      <c r="C32" s="436"/>
      <c r="D32" s="436"/>
      <c r="E32" s="436"/>
      <c r="F32" s="436"/>
      <c r="G32" s="436"/>
    </row>
    <row r="34" spans="1:8" x14ac:dyDescent="0.25">
      <c r="A34" s="423" t="s">
        <v>21</v>
      </c>
      <c r="B34" s="423"/>
      <c r="C34" s="423"/>
      <c r="E34" s="31"/>
      <c r="F34" s="423" t="s">
        <v>22</v>
      </c>
      <c r="G34" s="423"/>
      <c r="H34" s="35"/>
    </row>
    <row r="35" spans="1:8" x14ac:dyDescent="0.25">
      <c r="A35" s="434" t="s">
        <v>23</v>
      </c>
      <c r="B35" s="434"/>
      <c r="C35" s="434"/>
      <c r="E35" s="31"/>
      <c r="F35" s="424" t="s">
        <v>24</v>
      </c>
      <c r="G35" s="434"/>
      <c r="H35" s="151"/>
    </row>
    <row r="36" spans="1:8" ht="15.75" thickBot="1" x14ac:dyDescent="0.3">
      <c r="A36" s="37"/>
      <c r="B36" s="37"/>
      <c r="C36" s="37"/>
      <c r="D36" s="37"/>
      <c r="E36" s="37"/>
      <c r="F36" s="37"/>
      <c r="G36" s="37"/>
    </row>
    <row r="37" spans="1:8" x14ac:dyDescent="0.25">
      <c r="A37" s="10" t="s">
        <v>119</v>
      </c>
      <c r="B37" s="3"/>
      <c r="C37" s="3"/>
      <c r="D37" s="3"/>
      <c r="E37" s="3"/>
      <c r="F37" s="10"/>
      <c r="G37" s="3"/>
      <c r="H37" s="3"/>
    </row>
    <row r="38" spans="1:8" ht="15.75" thickBot="1" x14ac:dyDescent="0.3">
      <c r="A38" s="38" t="s">
        <v>120</v>
      </c>
      <c r="D38" s="39"/>
    </row>
    <row r="39" spans="1:8" x14ac:dyDescent="0.25">
      <c r="A39" s="9" t="s">
        <v>123</v>
      </c>
    </row>
    <row r="40" spans="1:8" x14ac:dyDescent="0.25">
      <c r="A40" s="9"/>
    </row>
    <row r="41" spans="1:8" ht="15.75" thickBot="1" x14ac:dyDescent="0.3">
      <c r="F41" s="435"/>
      <c r="G41" s="435"/>
    </row>
    <row r="42" spans="1:8" x14ac:dyDescent="0.25">
      <c r="D42" t="s">
        <v>25</v>
      </c>
      <c r="F42" s="434" t="s">
        <v>26</v>
      </c>
      <c r="G42" s="434"/>
      <c r="H42" s="151"/>
    </row>
    <row r="43" spans="1:8" x14ac:dyDescent="0.25">
      <c r="G43" s="151"/>
    </row>
    <row r="44" spans="1:8" x14ac:dyDescent="0.25">
      <c r="G44" s="151"/>
    </row>
    <row r="45" spans="1:8" x14ac:dyDescent="0.25">
      <c r="F45" s="36"/>
      <c r="G45" s="151"/>
    </row>
  </sheetData>
  <mergeCells count="17">
    <mergeCell ref="A35:C35"/>
    <mergeCell ref="F35:G35"/>
    <mergeCell ref="F41:G41"/>
    <mergeCell ref="F42:G42"/>
    <mergeCell ref="A28:C28"/>
    <mergeCell ref="F28:G28"/>
    <mergeCell ref="A29:C29"/>
    <mergeCell ref="F29:G29"/>
    <mergeCell ref="A32:G32"/>
    <mergeCell ref="A34:C34"/>
    <mergeCell ref="F34:G34"/>
    <mergeCell ref="B12:E12"/>
    <mergeCell ref="A1:G1"/>
    <mergeCell ref="A2:G2"/>
    <mergeCell ref="A3:G3"/>
    <mergeCell ref="A5:G5"/>
    <mergeCell ref="A8:G8"/>
  </mergeCells>
  <pageMargins left="0.7" right="0.7" top="0.75" bottom="0.75" header="0.3" footer="0.3"/>
  <pageSetup paperSize="9" scale="81" fitToHeight="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B270-031D-47FA-BD90-6033FCD0F715}">
  <sheetPr>
    <pageSetUpPr fitToPage="1"/>
  </sheetPr>
  <dimension ref="B1:O58"/>
  <sheetViews>
    <sheetView topLeftCell="A3" workbookViewId="0">
      <selection activeCell="B1" sqref="B1:O36"/>
    </sheetView>
  </sheetViews>
  <sheetFormatPr defaultRowHeight="15" x14ac:dyDescent="0.25"/>
  <cols>
    <col min="2" max="2" width="32.140625" bestFit="1" customWidth="1"/>
    <col min="3" max="3" width="20.28515625" bestFit="1" customWidth="1"/>
    <col min="4" max="4" width="8.7109375" bestFit="1" customWidth="1"/>
    <col min="5" max="5" width="11.5703125" style="163" customWidth="1"/>
    <col min="6" max="6" width="9.85546875" style="163" customWidth="1"/>
    <col min="7" max="7" width="10" style="163" bestFit="1" customWidth="1"/>
    <col min="8" max="8" width="10.5703125" style="163" customWidth="1"/>
    <col min="9" max="9" width="17" style="163" bestFit="1" customWidth="1"/>
    <col min="10" max="10" width="14" style="62" bestFit="1" customWidth="1"/>
    <col min="11" max="11" width="11.42578125" style="62" customWidth="1"/>
    <col min="12" max="12" width="9.42578125" style="163" bestFit="1" customWidth="1"/>
    <col min="13" max="13" width="10.5703125" style="163" customWidth="1"/>
    <col min="14" max="14" width="11.7109375" style="62" customWidth="1"/>
    <col min="15" max="15" width="11.140625" customWidth="1"/>
    <col min="258" max="258" width="22.42578125" customWidth="1"/>
    <col min="259" max="259" width="17.28515625" customWidth="1"/>
    <col min="260" max="260" width="9.28515625" customWidth="1"/>
    <col min="261" max="261" width="9.42578125" customWidth="1"/>
    <col min="262" max="262" width="9.5703125" customWidth="1"/>
    <col min="263" max="263" width="9.42578125" customWidth="1"/>
    <col min="264" max="264" width="9.42578125" bestFit="1" customWidth="1"/>
    <col min="265" max="265" width="12.5703125" customWidth="1"/>
    <col min="266" max="266" width="12.7109375" customWidth="1"/>
    <col min="267" max="267" width="8.28515625" customWidth="1"/>
    <col min="269" max="269" width="10.28515625" customWidth="1"/>
    <col min="270" max="270" width="14.7109375" customWidth="1"/>
    <col min="514" max="514" width="22.42578125" customWidth="1"/>
    <col min="515" max="515" width="17.28515625" customWidth="1"/>
    <col min="516" max="516" width="9.28515625" customWidth="1"/>
    <col min="517" max="517" width="9.42578125" customWidth="1"/>
    <col min="518" max="518" width="9.5703125" customWidth="1"/>
    <col min="519" max="519" width="9.42578125" customWidth="1"/>
    <col min="520" max="520" width="9.42578125" bestFit="1" customWidth="1"/>
    <col min="521" max="521" width="12.5703125" customWidth="1"/>
    <col min="522" max="522" width="12.7109375" customWidth="1"/>
    <col min="523" max="523" width="8.28515625" customWidth="1"/>
    <col min="525" max="525" width="10.28515625" customWidth="1"/>
    <col min="526" max="526" width="14.7109375" customWidth="1"/>
    <col min="770" max="770" width="22.42578125" customWidth="1"/>
    <col min="771" max="771" width="17.28515625" customWidth="1"/>
    <col min="772" max="772" width="9.28515625" customWidth="1"/>
    <col min="773" max="773" width="9.42578125" customWidth="1"/>
    <col min="774" max="774" width="9.5703125" customWidth="1"/>
    <col min="775" max="775" width="9.42578125" customWidth="1"/>
    <col min="776" max="776" width="9.42578125" bestFit="1" customWidth="1"/>
    <col min="777" max="777" width="12.5703125" customWidth="1"/>
    <col min="778" max="778" width="12.7109375" customWidth="1"/>
    <col min="779" max="779" width="8.28515625" customWidth="1"/>
    <col min="781" max="781" width="10.28515625" customWidth="1"/>
    <col min="782" max="782" width="14.7109375" customWidth="1"/>
    <col min="1026" max="1026" width="22.42578125" customWidth="1"/>
    <col min="1027" max="1027" width="17.28515625" customWidth="1"/>
    <col min="1028" max="1028" width="9.28515625" customWidth="1"/>
    <col min="1029" max="1029" width="9.42578125" customWidth="1"/>
    <col min="1030" max="1030" width="9.5703125" customWidth="1"/>
    <col min="1031" max="1031" width="9.42578125" customWidth="1"/>
    <col min="1032" max="1032" width="9.42578125" bestFit="1" customWidth="1"/>
    <col min="1033" max="1033" width="12.5703125" customWidth="1"/>
    <col min="1034" max="1034" width="12.7109375" customWidth="1"/>
    <col min="1035" max="1035" width="8.28515625" customWidth="1"/>
    <col min="1037" max="1037" width="10.28515625" customWidth="1"/>
    <col min="1038" max="1038" width="14.7109375" customWidth="1"/>
    <col min="1282" max="1282" width="22.42578125" customWidth="1"/>
    <col min="1283" max="1283" width="17.28515625" customWidth="1"/>
    <col min="1284" max="1284" width="9.28515625" customWidth="1"/>
    <col min="1285" max="1285" width="9.42578125" customWidth="1"/>
    <col min="1286" max="1286" width="9.5703125" customWidth="1"/>
    <col min="1287" max="1287" width="9.42578125" customWidth="1"/>
    <col min="1288" max="1288" width="9.42578125" bestFit="1" customWidth="1"/>
    <col min="1289" max="1289" width="12.5703125" customWidth="1"/>
    <col min="1290" max="1290" width="12.7109375" customWidth="1"/>
    <col min="1291" max="1291" width="8.28515625" customWidth="1"/>
    <col min="1293" max="1293" width="10.28515625" customWidth="1"/>
    <col min="1294" max="1294" width="14.7109375" customWidth="1"/>
    <col min="1538" max="1538" width="22.42578125" customWidth="1"/>
    <col min="1539" max="1539" width="17.28515625" customWidth="1"/>
    <col min="1540" max="1540" width="9.28515625" customWidth="1"/>
    <col min="1541" max="1541" width="9.42578125" customWidth="1"/>
    <col min="1542" max="1542" width="9.5703125" customWidth="1"/>
    <col min="1543" max="1543" width="9.42578125" customWidth="1"/>
    <col min="1544" max="1544" width="9.42578125" bestFit="1" customWidth="1"/>
    <col min="1545" max="1545" width="12.5703125" customWidth="1"/>
    <col min="1546" max="1546" width="12.7109375" customWidth="1"/>
    <col min="1547" max="1547" width="8.28515625" customWidth="1"/>
    <col min="1549" max="1549" width="10.28515625" customWidth="1"/>
    <col min="1550" max="1550" width="14.7109375" customWidth="1"/>
    <col min="1794" max="1794" width="22.42578125" customWidth="1"/>
    <col min="1795" max="1795" width="17.28515625" customWidth="1"/>
    <col min="1796" max="1796" width="9.28515625" customWidth="1"/>
    <col min="1797" max="1797" width="9.42578125" customWidth="1"/>
    <col min="1798" max="1798" width="9.5703125" customWidth="1"/>
    <col min="1799" max="1799" width="9.42578125" customWidth="1"/>
    <col min="1800" max="1800" width="9.42578125" bestFit="1" customWidth="1"/>
    <col min="1801" max="1801" width="12.5703125" customWidth="1"/>
    <col min="1802" max="1802" width="12.7109375" customWidth="1"/>
    <col min="1803" max="1803" width="8.28515625" customWidth="1"/>
    <col min="1805" max="1805" width="10.28515625" customWidth="1"/>
    <col min="1806" max="1806" width="14.7109375" customWidth="1"/>
    <col min="2050" max="2050" width="22.42578125" customWidth="1"/>
    <col min="2051" max="2051" width="17.28515625" customWidth="1"/>
    <col min="2052" max="2052" width="9.28515625" customWidth="1"/>
    <col min="2053" max="2053" width="9.42578125" customWidth="1"/>
    <col min="2054" max="2054" width="9.5703125" customWidth="1"/>
    <col min="2055" max="2055" width="9.42578125" customWidth="1"/>
    <col min="2056" max="2056" width="9.42578125" bestFit="1" customWidth="1"/>
    <col min="2057" max="2057" width="12.5703125" customWidth="1"/>
    <col min="2058" max="2058" width="12.7109375" customWidth="1"/>
    <col min="2059" max="2059" width="8.28515625" customWidth="1"/>
    <col min="2061" max="2061" width="10.28515625" customWidth="1"/>
    <col min="2062" max="2062" width="14.7109375" customWidth="1"/>
    <col min="2306" max="2306" width="22.42578125" customWidth="1"/>
    <col min="2307" max="2307" width="17.28515625" customWidth="1"/>
    <col min="2308" max="2308" width="9.28515625" customWidth="1"/>
    <col min="2309" max="2309" width="9.42578125" customWidth="1"/>
    <col min="2310" max="2310" width="9.5703125" customWidth="1"/>
    <col min="2311" max="2311" width="9.42578125" customWidth="1"/>
    <col min="2312" max="2312" width="9.42578125" bestFit="1" customWidth="1"/>
    <col min="2313" max="2313" width="12.5703125" customWidth="1"/>
    <col min="2314" max="2314" width="12.7109375" customWidth="1"/>
    <col min="2315" max="2315" width="8.28515625" customWidth="1"/>
    <col min="2317" max="2317" width="10.28515625" customWidth="1"/>
    <col min="2318" max="2318" width="14.7109375" customWidth="1"/>
    <col min="2562" max="2562" width="22.42578125" customWidth="1"/>
    <col min="2563" max="2563" width="17.28515625" customWidth="1"/>
    <col min="2564" max="2564" width="9.28515625" customWidth="1"/>
    <col min="2565" max="2565" width="9.42578125" customWidth="1"/>
    <col min="2566" max="2566" width="9.5703125" customWidth="1"/>
    <col min="2567" max="2567" width="9.42578125" customWidth="1"/>
    <col min="2568" max="2568" width="9.42578125" bestFit="1" customWidth="1"/>
    <col min="2569" max="2569" width="12.5703125" customWidth="1"/>
    <col min="2570" max="2570" width="12.7109375" customWidth="1"/>
    <col min="2571" max="2571" width="8.28515625" customWidth="1"/>
    <col min="2573" max="2573" width="10.28515625" customWidth="1"/>
    <col min="2574" max="2574" width="14.7109375" customWidth="1"/>
    <col min="2818" max="2818" width="22.42578125" customWidth="1"/>
    <col min="2819" max="2819" width="17.28515625" customWidth="1"/>
    <col min="2820" max="2820" width="9.28515625" customWidth="1"/>
    <col min="2821" max="2821" width="9.42578125" customWidth="1"/>
    <col min="2822" max="2822" width="9.5703125" customWidth="1"/>
    <col min="2823" max="2823" width="9.42578125" customWidth="1"/>
    <col min="2824" max="2824" width="9.42578125" bestFit="1" customWidth="1"/>
    <col min="2825" max="2825" width="12.5703125" customWidth="1"/>
    <col min="2826" max="2826" width="12.7109375" customWidth="1"/>
    <col min="2827" max="2827" width="8.28515625" customWidth="1"/>
    <col min="2829" max="2829" width="10.28515625" customWidth="1"/>
    <col min="2830" max="2830" width="14.7109375" customWidth="1"/>
    <col min="3074" max="3074" width="22.42578125" customWidth="1"/>
    <col min="3075" max="3075" width="17.28515625" customWidth="1"/>
    <col min="3076" max="3076" width="9.28515625" customWidth="1"/>
    <col min="3077" max="3077" width="9.42578125" customWidth="1"/>
    <col min="3078" max="3078" width="9.5703125" customWidth="1"/>
    <col min="3079" max="3079" width="9.42578125" customWidth="1"/>
    <col min="3080" max="3080" width="9.42578125" bestFit="1" customWidth="1"/>
    <col min="3081" max="3081" width="12.5703125" customWidth="1"/>
    <col min="3082" max="3082" width="12.7109375" customWidth="1"/>
    <col min="3083" max="3083" width="8.28515625" customWidth="1"/>
    <col min="3085" max="3085" width="10.28515625" customWidth="1"/>
    <col min="3086" max="3086" width="14.7109375" customWidth="1"/>
    <col min="3330" max="3330" width="22.42578125" customWidth="1"/>
    <col min="3331" max="3331" width="17.28515625" customWidth="1"/>
    <col min="3332" max="3332" width="9.28515625" customWidth="1"/>
    <col min="3333" max="3333" width="9.42578125" customWidth="1"/>
    <col min="3334" max="3334" width="9.5703125" customWidth="1"/>
    <col min="3335" max="3335" width="9.42578125" customWidth="1"/>
    <col min="3336" max="3336" width="9.42578125" bestFit="1" customWidth="1"/>
    <col min="3337" max="3337" width="12.5703125" customWidth="1"/>
    <col min="3338" max="3338" width="12.7109375" customWidth="1"/>
    <col min="3339" max="3339" width="8.28515625" customWidth="1"/>
    <col min="3341" max="3341" width="10.28515625" customWidth="1"/>
    <col min="3342" max="3342" width="14.7109375" customWidth="1"/>
    <col min="3586" max="3586" width="22.42578125" customWidth="1"/>
    <col min="3587" max="3587" width="17.28515625" customWidth="1"/>
    <col min="3588" max="3588" width="9.28515625" customWidth="1"/>
    <col min="3589" max="3589" width="9.42578125" customWidth="1"/>
    <col min="3590" max="3590" width="9.5703125" customWidth="1"/>
    <col min="3591" max="3591" width="9.42578125" customWidth="1"/>
    <col min="3592" max="3592" width="9.42578125" bestFit="1" customWidth="1"/>
    <col min="3593" max="3593" width="12.5703125" customWidth="1"/>
    <col min="3594" max="3594" width="12.7109375" customWidth="1"/>
    <col min="3595" max="3595" width="8.28515625" customWidth="1"/>
    <col min="3597" max="3597" width="10.28515625" customWidth="1"/>
    <col min="3598" max="3598" width="14.7109375" customWidth="1"/>
    <col min="3842" max="3842" width="22.42578125" customWidth="1"/>
    <col min="3843" max="3843" width="17.28515625" customWidth="1"/>
    <col min="3844" max="3844" width="9.28515625" customWidth="1"/>
    <col min="3845" max="3845" width="9.42578125" customWidth="1"/>
    <col min="3846" max="3846" width="9.5703125" customWidth="1"/>
    <col min="3847" max="3847" width="9.42578125" customWidth="1"/>
    <col min="3848" max="3848" width="9.42578125" bestFit="1" customWidth="1"/>
    <col min="3849" max="3849" width="12.5703125" customWidth="1"/>
    <col min="3850" max="3850" width="12.7109375" customWidth="1"/>
    <col min="3851" max="3851" width="8.28515625" customWidth="1"/>
    <col min="3853" max="3853" width="10.28515625" customWidth="1"/>
    <col min="3854" max="3854" width="14.7109375" customWidth="1"/>
    <col min="4098" max="4098" width="22.42578125" customWidth="1"/>
    <col min="4099" max="4099" width="17.28515625" customWidth="1"/>
    <col min="4100" max="4100" width="9.28515625" customWidth="1"/>
    <col min="4101" max="4101" width="9.42578125" customWidth="1"/>
    <col min="4102" max="4102" width="9.5703125" customWidth="1"/>
    <col min="4103" max="4103" width="9.42578125" customWidth="1"/>
    <col min="4104" max="4104" width="9.42578125" bestFit="1" customWidth="1"/>
    <col min="4105" max="4105" width="12.5703125" customWidth="1"/>
    <col min="4106" max="4106" width="12.7109375" customWidth="1"/>
    <col min="4107" max="4107" width="8.28515625" customWidth="1"/>
    <col min="4109" max="4109" width="10.28515625" customWidth="1"/>
    <col min="4110" max="4110" width="14.7109375" customWidth="1"/>
    <col min="4354" max="4354" width="22.42578125" customWidth="1"/>
    <col min="4355" max="4355" width="17.28515625" customWidth="1"/>
    <col min="4356" max="4356" width="9.28515625" customWidth="1"/>
    <col min="4357" max="4357" width="9.42578125" customWidth="1"/>
    <col min="4358" max="4358" width="9.5703125" customWidth="1"/>
    <col min="4359" max="4359" width="9.42578125" customWidth="1"/>
    <col min="4360" max="4360" width="9.42578125" bestFit="1" customWidth="1"/>
    <col min="4361" max="4361" width="12.5703125" customWidth="1"/>
    <col min="4362" max="4362" width="12.7109375" customWidth="1"/>
    <col min="4363" max="4363" width="8.28515625" customWidth="1"/>
    <col min="4365" max="4365" width="10.28515625" customWidth="1"/>
    <col min="4366" max="4366" width="14.7109375" customWidth="1"/>
    <col min="4610" max="4610" width="22.42578125" customWidth="1"/>
    <col min="4611" max="4611" width="17.28515625" customWidth="1"/>
    <col min="4612" max="4612" width="9.28515625" customWidth="1"/>
    <col min="4613" max="4613" width="9.42578125" customWidth="1"/>
    <col min="4614" max="4614" width="9.5703125" customWidth="1"/>
    <col min="4615" max="4615" width="9.42578125" customWidth="1"/>
    <col min="4616" max="4616" width="9.42578125" bestFit="1" customWidth="1"/>
    <col min="4617" max="4617" width="12.5703125" customWidth="1"/>
    <col min="4618" max="4618" width="12.7109375" customWidth="1"/>
    <col min="4619" max="4619" width="8.28515625" customWidth="1"/>
    <col min="4621" max="4621" width="10.28515625" customWidth="1"/>
    <col min="4622" max="4622" width="14.7109375" customWidth="1"/>
    <col min="4866" max="4866" width="22.42578125" customWidth="1"/>
    <col min="4867" max="4867" width="17.28515625" customWidth="1"/>
    <col min="4868" max="4868" width="9.28515625" customWidth="1"/>
    <col min="4869" max="4869" width="9.42578125" customWidth="1"/>
    <col min="4870" max="4870" width="9.5703125" customWidth="1"/>
    <col min="4871" max="4871" width="9.42578125" customWidth="1"/>
    <col min="4872" max="4872" width="9.42578125" bestFit="1" customWidth="1"/>
    <col min="4873" max="4873" width="12.5703125" customWidth="1"/>
    <col min="4874" max="4874" width="12.7109375" customWidth="1"/>
    <col min="4875" max="4875" width="8.28515625" customWidth="1"/>
    <col min="4877" max="4877" width="10.28515625" customWidth="1"/>
    <col min="4878" max="4878" width="14.7109375" customWidth="1"/>
    <col min="5122" max="5122" width="22.42578125" customWidth="1"/>
    <col min="5123" max="5123" width="17.28515625" customWidth="1"/>
    <col min="5124" max="5124" width="9.28515625" customWidth="1"/>
    <col min="5125" max="5125" width="9.42578125" customWidth="1"/>
    <col min="5126" max="5126" width="9.5703125" customWidth="1"/>
    <col min="5127" max="5127" width="9.42578125" customWidth="1"/>
    <col min="5128" max="5128" width="9.42578125" bestFit="1" customWidth="1"/>
    <col min="5129" max="5129" width="12.5703125" customWidth="1"/>
    <col min="5130" max="5130" width="12.7109375" customWidth="1"/>
    <col min="5131" max="5131" width="8.28515625" customWidth="1"/>
    <col min="5133" max="5133" width="10.28515625" customWidth="1"/>
    <col min="5134" max="5134" width="14.7109375" customWidth="1"/>
    <col min="5378" max="5378" width="22.42578125" customWidth="1"/>
    <col min="5379" max="5379" width="17.28515625" customWidth="1"/>
    <col min="5380" max="5380" width="9.28515625" customWidth="1"/>
    <col min="5381" max="5381" width="9.42578125" customWidth="1"/>
    <col min="5382" max="5382" width="9.5703125" customWidth="1"/>
    <col min="5383" max="5383" width="9.42578125" customWidth="1"/>
    <col min="5384" max="5384" width="9.42578125" bestFit="1" customWidth="1"/>
    <col min="5385" max="5385" width="12.5703125" customWidth="1"/>
    <col min="5386" max="5386" width="12.7109375" customWidth="1"/>
    <col min="5387" max="5387" width="8.28515625" customWidth="1"/>
    <col min="5389" max="5389" width="10.28515625" customWidth="1"/>
    <col min="5390" max="5390" width="14.7109375" customWidth="1"/>
    <col min="5634" max="5634" width="22.42578125" customWidth="1"/>
    <col min="5635" max="5635" width="17.28515625" customWidth="1"/>
    <col min="5636" max="5636" width="9.28515625" customWidth="1"/>
    <col min="5637" max="5637" width="9.42578125" customWidth="1"/>
    <col min="5638" max="5638" width="9.5703125" customWidth="1"/>
    <col min="5639" max="5639" width="9.42578125" customWidth="1"/>
    <col min="5640" max="5640" width="9.42578125" bestFit="1" customWidth="1"/>
    <col min="5641" max="5641" width="12.5703125" customWidth="1"/>
    <col min="5642" max="5642" width="12.7109375" customWidth="1"/>
    <col min="5643" max="5643" width="8.28515625" customWidth="1"/>
    <col min="5645" max="5645" width="10.28515625" customWidth="1"/>
    <col min="5646" max="5646" width="14.7109375" customWidth="1"/>
    <col min="5890" max="5890" width="22.42578125" customWidth="1"/>
    <col min="5891" max="5891" width="17.28515625" customWidth="1"/>
    <col min="5892" max="5892" width="9.28515625" customWidth="1"/>
    <col min="5893" max="5893" width="9.42578125" customWidth="1"/>
    <col min="5894" max="5894" width="9.5703125" customWidth="1"/>
    <col min="5895" max="5895" width="9.42578125" customWidth="1"/>
    <col min="5896" max="5896" width="9.42578125" bestFit="1" customWidth="1"/>
    <col min="5897" max="5897" width="12.5703125" customWidth="1"/>
    <col min="5898" max="5898" width="12.7109375" customWidth="1"/>
    <col min="5899" max="5899" width="8.28515625" customWidth="1"/>
    <col min="5901" max="5901" width="10.28515625" customWidth="1"/>
    <col min="5902" max="5902" width="14.7109375" customWidth="1"/>
    <col min="6146" max="6146" width="22.42578125" customWidth="1"/>
    <col min="6147" max="6147" width="17.28515625" customWidth="1"/>
    <col min="6148" max="6148" width="9.28515625" customWidth="1"/>
    <col min="6149" max="6149" width="9.42578125" customWidth="1"/>
    <col min="6150" max="6150" width="9.5703125" customWidth="1"/>
    <col min="6151" max="6151" width="9.42578125" customWidth="1"/>
    <col min="6152" max="6152" width="9.42578125" bestFit="1" customWidth="1"/>
    <col min="6153" max="6153" width="12.5703125" customWidth="1"/>
    <col min="6154" max="6154" width="12.7109375" customWidth="1"/>
    <col min="6155" max="6155" width="8.28515625" customWidth="1"/>
    <col min="6157" max="6157" width="10.28515625" customWidth="1"/>
    <col min="6158" max="6158" width="14.7109375" customWidth="1"/>
    <col min="6402" max="6402" width="22.42578125" customWidth="1"/>
    <col min="6403" max="6403" width="17.28515625" customWidth="1"/>
    <col min="6404" max="6404" width="9.28515625" customWidth="1"/>
    <col min="6405" max="6405" width="9.42578125" customWidth="1"/>
    <col min="6406" max="6406" width="9.5703125" customWidth="1"/>
    <col min="6407" max="6407" width="9.42578125" customWidth="1"/>
    <col min="6408" max="6408" width="9.42578125" bestFit="1" customWidth="1"/>
    <col min="6409" max="6409" width="12.5703125" customWidth="1"/>
    <col min="6410" max="6410" width="12.7109375" customWidth="1"/>
    <col min="6411" max="6411" width="8.28515625" customWidth="1"/>
    <col min="6413" max="6413" width="10.28515625" customWidth="1"/>
    <col min="6414" max="6414" width="14.7109375" customWidth="1"/>
    <col min="6658" max="6658" width="22.42578125" customWidth="1"/>
    <col min="6659" max="6659" width="17.28515625" customWidth="1"/>
    <col min="6660" max="6660" width="9.28515625" customWidth="1"/>
    <col min="6661" max="6661" width="9.42578125" customWidth="1"/>
    <col min="6662" max="6662" width="9.5703125" customWidth="1"/>
    <col min="6663" max="6663" width="9.42578125" customWidth="1"/>
    <col min="6664" max="6664" width="9.42578125" bestFit="1" customWidth="1"/>
    <col min="6665" max="6665" width="12.5703125" customWidth="1"/>
    <col min="6666" max="6666" width="12.7109375" customWidth="1"/>
    <col min="6667" max="6667" width="8.28515625" customWidth="1"/>
    <col min="6669" max="6669" width="10.28515625" customWidth="1"/>
    <col min="6670" max="6670" width="14.7109375" customWidth="1"/>
    <col min="6914" max="6914" width="22.42578125" customWidth="1"/>
    <col min="6915" max="6915" width="17.28515625" customWidth="1"/>
    <col min="6916" max="6916" width="9.28515625" customWidth="1"/>
    <col min="6917" max="6917" width="9.42578125" customWidth="1"/>
    <col min="6918" max="6918" width="9.5703125" customWidth="1"/>
    <col min="6919" max="6919" width="9.42578125" customWidth="1"/>
    <col min="6920" max="6920" width="9.42578125" bestFit="1" customWidth="1"/>
    <col min="6921" max="6921" width="12.5703125" customWidth="1"/>
    <col min="6922" max="6922" width="12.7109375" customWidth="1"/>
    <col min="6923" max="6923" width="8.28515625" customWidth="1"/>
    <col min="6925" max="6925" width="10.28515625" customWidth="1"/>
    <col min="6926" max="6926" width="14.7109375" customWidth="1"/>
    <col min="7170" max="7170" width="22.42578125" customWidth="1"/>
    <col min="7171" max="7171" width="17.28515625" customWidth="1"/>
    <col min="7172" max="7172" width="9.28515625" customWidth="1"/>
    <col min="7173" max="7173" width="9.42578125" customWidth="1"/>
    <col min="7174" max="7174" width="9.5703125" customWidth="1"/>
    <col min="7175" max="7175" width="9.42578125" customWidth="1"/>
    <col min="7176" max="7176" width="9.42578125" bestFit="1" customWidth="1"/>
    <col min="7177" max="7177" width="12.5703125" customWidth="1"/>
    <col min="7178" max="7178" width="12.7109375" customWidth="1"/>
    <col min="7179" max="7179" width="8.28515625" customWidth="1"/>
    <col min="7181" max="7181" width="10.28515625" customWidth="1"/>
    <col min="7182" max="7182" width="14.7109375" customWidth="1"/>
    <col min="7426" max="7426" width="22.42578125" customWidth="1"/>
    <col min="7427" max="7427" width="17.28515625" customWidth="1"/>
    <col min="7428" max="7428" width="9.28515625" customWidth="1"/>
    <col min="7429" max="7429" width="9.42578125" customWidth="1"/>
    <col min="7430" max="7430" width="9.5703125" customWidth="1"/>
    <col min="7431" max="7431" width="9.42578125" customWidth="1"/>
    <col min="7432" max="7432" width="9.42578125" bestFit="1" customWidth="1"/>
    <col min="7433" max="7433" width="12.5703125" customWidth="1"/>
    <col min="7434" max="7434" width="12.7109375" customWidth="1"/>
    <col min="7435" max="7435" width="8.28515625" customWidth="1"/>
    <col min="7437" max="7437" width="10.28515625" customWidth="1"/>
    <col min="7438" max="7438" width="14.7109375" customWidth="1"/>
    <col min="7682" max="7682" width="22.42578125" customWidth="1"/>
    <col min="7683" max="7683" width="17.28515625" customWidth="1"/>
    <col min="7684" max="7684" width="9.28515625" customWidth="1"/>
    <col min="7685" max="7685" width="9.42578125" customWidth="1"/>
    <col min="7686" max="7686" width="9.5703125" customWidth="1"/>
    <col min="7687" max="7687" width="9.42578125" customWidth="1"/>
    <col min="7688" max="7688" width="9.42578125" bestFit="1" customWidth="1"/>
    <col min="7689" max="7689" width="12.5703125" customWidth="1"/>
    <col min="7690" max="7690" width="12.7109375" customWidth="1"/>
    <col min="7691" max="7691" width="8.28515625" customWidth="1"/>
    <col min="7693" max="7693" width="10.28515625" customWidth="1"/>
    <col min="7694" max="7694" width="14.7109375" customWidth="1"/>
    <col min="7938" max="7938" width="22.42578125" customWidth="1"/>
    <col min="7939" max="7939" width="17.28515625" customWidth="1"/>
    <col min="7940" max="7940" width="9.28515625" customWidth="1"/>
    <col min="7941" max="7941" width="9.42578125" customWidth="1"/>
    <col min="7942" max="7942" width="9.5703125" customWidth="1"/>
    <col min="7943" max="7943" width="9.42578125" customWidth="1"/>
    <col min="7944" max="7944" width="9.42578125" bestFit="1" customWidth="1"/>
    <col min="7945" max="7945" width="12.5703125" customWidth="1"/>
    <col min="7946" max="7946" width="12.7109375" customWidth="1"/>
    <col min="7947" max="7947" width="8.28515625" customWidth="1"/>
    <col min="7949" max="7949" width="10.28515625" customWidth="1"/>
    <col min="7950" max="7950" width="14.7109375" customWidth="1"/>
    <col min="8194" max="8194" width="22.42578125" customWidth="1"/>
    <col min="8195" max="8195" width="17.28515625" customWidth="1"/>
    <col min="8196" max="8196" width="9.28515625" customWidth="1"/>
    <col min="8197" max="8197" width="9.42578125" customWidth="1"/>
    <col min="8198" max="8198" width="9.5703125" customWidth="1"/>
    <col min="8199" max="8199" width="9.42578125" customWidth="1"/>
    <col min="8200" max="8200" width="9.42578125" bestFit="1" customWidth="1"/>
    <col min="8201" max="8201" width="12.5703125" customWidth="1"/>
    <col min="8202" max="8202" width="12.7109375" customWidth="1"/>
    <col min="8203" max="8203" width="8.28515625" customWidth="1"/>
    <col min="8205" max="8205" width="10.28515625" customWidth="1"/>
    <col min="8206" max="8206" width="14.7109375" customWidth="1"/>
    <col min="8450" max="8450" width="22.42578125" customWidth="1"/>
    <col min="8451" max="8451" width="17.28515625" customWidth="1"/>
    <col min="8452" max="8452" width="9.28515625" customWidth="1"/>
    <col min="8453" max="8453" width="9.42578125" customWidth="1"/>
    <col min="8454" max="8454" width="9.5703125" customWidth="1"/>
    <col min="8455" max="8455" width="9.42578125" customWidth="1"/>
    <col min="8456" max="8456" width="9.42578125" bestFit="1" customWidth="1"/>
    <col min="8457" max="8457" width="12.5703125" customWidth="1"/>
    <col min="8458" max="8458" width="12.7109375" customWidth="1"/>
    <col min="8459" max="8459" width="8.28515625" customWidth="1"/>
    <col min="8461" max="8461" width="10.28515625" customWidth="1"/>
    <col min="8462" max="8462" width="14.7109375" customWidth="1"/>
    <col min="8706" max="8706" width="22.42578125" customWidth="1"/>
    <col min="8707" max="8707" width="17.28515625" customWidth="1"/>
    <col min="8708" max="8708" width="9.28515625" customWidth="1"/>
    <col min="8709" max="8709" width="9.42578125" customWidth="1"/>
    <col min="8710" max="8710" width="9.5703125" customWidth="1"/>
    <col min="8711" max="8711" width="9.42578125" customWidth="1"/>
    <col min="8712" max="8712" width="9.42578125" bestFit="1" customWidth="1"/>
    <col min="8713" max="8713" width="12.5703125" customWidth="1"/>
    <col min="8714" max="8714" width="12.7109375" customWidth="1"/>
    <col min="8715" max="8715" width="8.28515625" customWidth="1"/>
    <col min="8717" max="8717" width="10.28515625" customWidth="1"/>
    <col min="8718" max="8718" width="14.7109375" customWidth="1"/>
    <col min="8962" max="8962" width="22.42578125" customWidth="1"/>
    <col min="8963" max="8963" width="17.28515625" customWidth="1"/>
    <col min="8964" max="8964" width="9.28515625" customWidth="1"/>
    <col min="8965" max="8965" width="9.42578125" customWidth="1"/>
    <col min="8966" max="8966" width="9.5703125" customWidth="1"/>
    <col min="8967" max="8967" width="9.42578125" customWidth="1"/>
    <col min="8968" max="8968" width="9.42578125" bestFit="1" customWidth="1"/>
    <col min="8969" max="8969" width="12.5703125" customWidth="1"/>
    <col min="8970" max="8970" width="12.7109375" customWidth="1"/>
    <col min="8971" max="8971" width="8.28515625" customWidth="1"/>
    <col min="8973" max="8973" width="10.28515625" customWidth="1"/>
    <col min="8974" max="8974" width="14.7109375" customWidth="1"/>
    <col min="9218" max="9218" width="22.42578125" customWidth="1"/>
    <col min="9219" max="9219" width="17.28515625" customWidth="1"/>
    <col min="9220" max="9220" width="9.28515625" customWidth="1"/>
    <col min="9221" max="9221" width="9.42578125" customWidth="1"/>
    <col min="9222" max="9222" width="9.5703125" customWidth="1"/>
    <col min="9223" max="9223" width="9.42578125" customWidth="1"/>
    <col min="9224" max="9224" width="9.42578125" bestFit="1" customWidth="1"/>
    <col min="9225" max="9225" width="12.5703125" customWidth="1"/>
    <col min="9226" max="9226" width="12.7109375" customWidth="1"/>
    <col min="9227" max="9227" width="8.28515625" customWidth="1"/>
    <col min="9229" max="9229" width="10.28515625" customWidth="1"/>
    <col min="9230" max="9230" width="14.7109375" customWidth="1"/>
    <col min="9474" max="9474" width="22.42578125" customWidth="1"/>
    <col min="9475" max="9475" width="17.28515625" customWidth="1"/>
    <col min="9476" max="9476" width="9.28515625" customWidth="1"/>
    <col min="9477" max="9477" width="9.42578125" customWidth="1"/>
    <col min="9478" max="9478" width="9.5703125" customWidth="1"/>
    <col min="9479" max="9479" width="9.42578125" customWidth="1"/>
    <col min="9480" max="9480" width="9.42578125" bestFit="1" customWidth="1"/>
    <col min="9481" max="9481" width="12.5703125" customWidth="1"/>
    <col min="9482" max="9482" width="12.7109375" customWidth="1"/>
    <col min="9483" max="9483" width="8.28515625" customWidth="1"/>
    <col min="9485" max="9485" width="10.28515625" customWidth="1"/>
    <col min="9486" max="9486" width="14.7109375" customWidth="1"/>
    <col min="9730" max="9730" width="22.42578125" customWidth="1"/>
    <col min="9731" max="9731" width="17.28515625" customWidth="1"/>
    <col min="9732" max="9732" width="9.28515625" customWidth="1"/>
    <col min="9733" max="9733" width="9.42578125" customWidth="1"/>
    <col min="9734" max="9734" width="9.5703125" customWidth="1"/>
    <col min="9735" max="9735" width="9.42578125" customWidth="1"/>
    <col min="9736" max="9736" width="9.42578125" bestFit="1" customWidth="1"/>
    <col min="9737" max="9737" width="12.5703125" customWidth="1"/>
    <col min="9738" max="9738" width="12.7109375" customWidth="1"/>
    <col min="9739" max="9739" width="8.28515625" customWidth="1"/>
    <col min="9741" max="9741" width="10.28515625" customWidth="1"/>
    <col min="9742" max="9742" width="14.7109375" customWidth="1"/>
    <col min="9986" max="9986" width="22.42578125" customWidth="1"/>
    <col min="9987" max="9987" width="17.28515625" customWidth="1"/>
    <col min="9988" max="9988" width="9.28515625" customWidth="1"/>
    <col min="9989" max="9989" width="9.42578125" customWidth="1"/>
    <col min="9990" max="9990" width="9.5703125" customWidth="1"/>
    <col min="9991" max="9991" width="9.42578125" customWidth="1"/>
    <col min="9992" max="9992" width="9.42578125" bestFit="1" customWidth="1"/>
    <col min="9993" max="9993" width="12.5703125" customWidth="1"/>
    <col min="9994" max="9994" width="12.7109375" customWidth="1"/>
    <col min="9995" max="9995" width="8.28515625" customWidth="1"/>
    <col min="9997" max="9997" width="10.28515625" customWidth="1"/>
    <col min="9998" max="9998" width="14.7109375" customWidth="1"/>
    <col min="10242" max="10242" width="22.42578125" customWidth="1"/>
    <col min="10243" max="10243" width="17.28515625" customWidth="1"/>
    <col min="10244" max="10244" width="9.28515625" customWidth="1"/>
    <col min="10245" max="10245" width="9.42578125" customWidth="1"/>
    <col min="10246" max="10246" width="9.5703125" customWidth="1"/>
    <col min="10247" max="10247" width="9.42578125" customWidth="1"/>
    <col min="10248" max="10248" width="9.42578125" bestFit="1" customWidth="1"/>
    <col min="10249" max="10249" width="12.5703125" customWidth="1"/>
    <col min="10250" max="10250" width="12.7109375" customWidth="1"/>
    <col min="10251" max="10251" width="8.28515625" customWidth="1"/>
    <col min="10253" max="10253" width="10.28515625" customWidth="1"/>
    <col min="10254" max="10254" width="14.7109375" customWidth="1"/>
    <col min="10498" max="10498" width="22.42578125" customWidth="1"/>
    <col min="10499" max="10499" width="17.28515625" customWidth="1"/>
    <col min="10500" max="10500" width="9.28515625" customWidth="1"/>
    <col min="10501" max="10501" width="9.42578125" customWidth="1"/>
    <col min="10502" max="10502" width="9.5703125" customWidth="1"/>
    <col min="10503" max="10503" width="9.42578125" customWidth="1"/>
    <col min="10504" max="10504" width="9.42578125" bestFit="1" customWidth="1"/>
    <col min="10505" max="10505" width="12.5703125" customWidth="1"/>
    <col min="10506" max="10506" width="12.7109375" customWidth="1"/>
    <col min="10507" max="10507" width="8.28515625" customWidth="1"/>
    <col min="10509" max="10509" width="10.28515625" customWidth="1"/>
    <col min="10510" max="10510" width="14.7109375" customWidth="1"/>
    <col min="10754" max="10754" width="22.42578125" customWidth="1"/>
    <col min="10755" max="10755" width="17.28515625" customWidth="1"/>
    <col min="10756" max="10756" width="9.28515625" customWidth="1"/>
    <col min="10757" max="10757" width="9.42578125" customWidth="1"/>
    <col min="10758" max="10758" width="9.5703125" customWidth="1"/>
    <col min="10759" max="10759" width="9.42578125" customWidth="1"/>
    <col min="10760" max="10760" width="9.42578125" bestFit="1" customWidth="1"/>
    <col min="10761" max="10761" width="12.5703125" customWidth="1"/>
    <col min="10762" max="10762" width="12.7109375" customWidth="1"/>
    <col min="10763" max="10763" width="8.28515625" customWidth="1"/>
    <col min="10765" max="10765" width="10.28515625" customWidth="1"/>
    <col min="10766" max="10766" width="14.7109375" customWidth="1"/>
    <col min="11010" max="11010" width="22.42578125" customWidth="1"/>
    <col min="11011" max="11011" width="17.28515625" customWidth="1"/>
    <col min="11012" max="11012" width="9.28515625" customWidth="1"/>
    <col min="11013" max="11013" width="9.42578125" customWidth="1"/>
    <col min="11014" max="11014" width="9.5703125" customWidth="1"/>
    <col min="11015" max="11015" width="9.42578125" customWidth="1"/>
    <col min="11016" max="11016" width="9.42578125" bestFit="1" customWidth="1"/>
    <col min="11017" max="11017" width="12.5703125" customWidth="1"/>
    <col min="11018" max="11018" width="12.7109375" customWidth="1"/>
    <col min="11019" max="11019" width="8.28515625" customWidth="1"/>
    <col min="11021" max="11021" width="10.28515625" customWidth="1"/>
    <col min="11022" max="11022" width="14.7109375" customWidth="1"/>
    <col min="11266" max="11266" width="22.42578125" customWidth="1"/>
    <col min="11267" max="11267" width="17.28515625" customWidth="1"/>
    <col min="11268" max="11268" width="9.28515625" customWidth="1"/>
    <col min="11269" max="11269" width="9.42578125" customWidth="1"/>
    <col min="11270" max="11270" width="9.5703125" customWidth="1"/>
    <col min="11271" max="11271" width="9.42578125" customWidth="1"/>
    <col min="11272" max="11272" width="9.42578125" bestFit="1" customWidth="1"/>
    <col min="11273" max="11273" width="12.5703125" customWidth="1"/>
    <col min="11274" max="11274" width="12.7109375" customWidth="1"/>
    <col min="11275" max="11275" width="8.28515625" customWidth="1"/>
    <col min="11277" max="11277" width="10.28515625" customWidth="1"/>
    <col min="11278" max="11278" width="14.7109375" customWidth="1"/>
    <col min="11522" max="11522" width="22.42578125" customWidth="1"/>
    <col min="11523" max="11523" width="17.28515625" customWidth="1"/>
    <col min="11524" max="11524" width="9.28515625" customWidth="1"/>
    <col min="11525" max="11525" width="9.42578125" customWidth="1"/>
    <col min="11526" max="11526" width="9.5703125" customWidth="1"/>
    <col min="11527" max="11527" width="9.42578125" customWidth="1"/>
    <col min="11528" max="11528" width="9.42578125" bestFit="1" customWidth="1"/>
    <col min="11529" max="11529" width="12.5703125" customWidth="1"/>
    <col min="11530" max="11530" width="12.7109375" customWidth="1"/>
    <col min="11531" max="11531" width="8.28515625" customWidth="1"/>
    <col min="11533" max="11533" width="10.28515625" customWidth="1"/>
    <col min="11534" max="11534" width="14.7109375" customWidth="1"/>
    <col min="11778" max="11778" width="22.42578125" customWidth="1"/>
    <col min="11779" max="11779" width="17.28515625" customWidth="1"/>
    <col min="11780" max="11780" width="9.28515625" customWidth="1"/>
    <col min="11781" max="11781" width="9.42578125" customWidth="1"/>
    <col min="11782" max="11782" width="9.5703125" customWidth="1"/>
    <col min="11783" max="11783" width="9.42578125" customWidth="1"/>
    <col min="11784" max="11784" width="9.42578125" bestFit="1" customWidth="1"/>
    <col min="11785" max="11785" width="12.5703125" customWidth="1"/>
    <col min="11786" max="11786" width="12.7109375" customWidth="1"/>
    <col min="11787" max="11787" width="8.28515625" customWidth="1"/>
    <col min="11789" max="11789" width="10.28515625" customWidth="1"/>
    <col min="11790" max="11790" width="14.7109375" customWidth="1"/>
    <col min="12034" max="12034" width="22.42578125" customWidth="1"/>
    <col min="12035" max="12035" width="17.28515625" customWidth="1"/>
    <col min="12036" max="12036" width="9.28515625" customWidth="1"/>
    <col min="12037" max="12037" width="9.42578125" customWidth="1"/>
    <col min="12038" max="12038" width="9.5703125" customWidth="1"/>
    <col min="12039" max="12039" width="9.42578125" customWidth="1"/>
    <col min="12040" max="12040" width="9.42578125" bestFit="1" customWidth="1"/>
    <col min="12041" max="12041" width="12.5703125" customWidth="1"/>
    <col min="12042" max="12042" width="12.7109375" customWidth="1"/>
    <col min="12043" max="12043" width="8.28515625" customWidth="1"/>
    <col min="12045" max="12045" width="10.28515625" customWidth="1"/>
    <col min="12046" max="12046" width="14.7109375" customWidth="1"/>
    <col min="12290" max="12290" width="22.42578125" customWidth="1"/>
    <col min="12291" max="12291" width="17.28515625" customWidth="1"/>
    <col min="12292" max="12292" width="9.28515625" customWidth="1"/>
    <col min="12293" max="12293" width="9.42578125" customWidth="1"/>
    <col min="12294" max="12294" width="9.5703125" customWidth="1"/>
    <col min="12295" max="12295" width="9.42578125" customWidth="1"/>
    <col min="12296" max="12296" width="9.42578125" bestFit="1" customWidth="1"/>
    <col min="12297" max="12297" width="12.5703125" customWidth="1"/>
    <col min="12298" max="12298" width="12.7109375" customWidth="1"/>
    <col min="12299" max="12299" width="8.28515625" customWidth="1"/>
    <col min="12301" max="12301" width="10.28515625" customWidth="1"/>
    <col min="12302" max="12302" width="14.7109375" customWidth="1"/>
    <col min="12546" max="12546" width="22.42578125" customWidth="1"/>
    <col min="12547" max="12547" width="17.28515625" customWidth="1"/>
    <col min="12548" max="12548" width="9.28515625" customWidth="1"/>
    <col min="12549" max="12549" width="9.42578125" customWidth="1"/>
    <col min="12550" max="12550" width="9.5703125" customWidth="1"/>
    <col min="12551" max="12551" width="9.42578125" customWidth="1"/>
    <col min="12552" max="12552" width="9.42578125" bestFit="1" customWidth="1"/>
    <col min="12553" max="12553" width="12.5703125" customWidth="1"/>
    <col min="12554" max="12554" width="12.7109375" customWidth="1"/>
    <col min="12555" max="12555" width="8.28515625" customWidth="1"/>
    <col min="12557" max="12557" width="10.28515625" customWidth="1"/>
    <col min="12558" max="12558" width="14.7109375" customWidth="1"/>
    <col min="12802" max="12802" width="22.42578125" customWidth="1"/>
    <col min="12803" max="12803" width="17.28515625" customWidth="1"/>
    <col min="12804" max="12804" width="9.28515625" customWidth="1"/>
    <col min="12805" max="12805" width="9.42578125" customWidth="1"/>
    <col min="12806" max="12806" width="9.5703125" customWidth="1"/>
    <col min="12807" max="12807" width="9.42578125" customWidth="1"/>
    <col min="12808" max="12808" width="9.42578125" bestFit="1" customWidth="1"/>
    <col min="12809" max="12809" width="12.5703125" customWidth="1"/>
    <col min="12810" max="12810" width="12.7109375" customWidth="1"/>
    <col min="12811" max="12811" width="8.28515625" customWidth="1"/>
    <col min="12813" max="12813" width="10.28515625" customWidth="1"/>
    <col min="12814" max="12814" width="14.7109375" customWidth="1"/>
    <col min="13058" max="13058" width="22.42578125" customWidth="1"/>
    <col min="13059" max="13059" width="17.28515625" customWidth="1"/>
    <col min="13060" max="13060" width="9.28515625" customWidth="1"/>
    <col min="13061" max="13061" width="9.42578125" customWidth="1"/>
    <col min="13062" max="13062" width="9.5703125" customWidth="1"/>
    <col min="13063" max="13063" width="9.42578125" customWidth="1"/>
    <col min="13064" max="13064" width="9.42578125" bestFit="1" customWidth="1"/>
    <col min="13065" max="13065" width="12.5703125" customWidth="1"/>
    <col min="13066" max="13066" width="12.7109375" customWidth="1"/>
    <col min="13067" max="13067" width="8.28515625" customWidth="1"/>
    <col min="13069" max="13069" width="10.28515625" customWidth="1"/>
    <col min="13070" max="13070" width="14.7109375" customWidth="1"/>
    <col min="13314" max="13314" width="22.42578125" customWidth="1"/>
    <col min="13315" max="13315" width="17.28515625" customWidth="1"/>
    <col min="13316" max="13316" width="9.28515625" customWidth="1"/>
    <col min="13317" max="13317" width="9.42578125" customWidth="1"/>
    <col min="13318" max="13318" width="9.5703125" customWidth="1"/>
    <col min="13319" max="13319" width="9.42578125" customWidth="1"/>
    <col min="13320" max="13320" width="9.42578125" bestFit="1" customWidth="1"/>
    <col min="13321" max="13321" width="12.5703125" customWidth="1"/>
    <col min="13322" max="13322" width="12.7109375" customWidth="1"/>
    <col min="13323" max="13323" width="8.28515625" customWidth="1"/>
    <col min="13325" max="13325" width="10.28515625" customWidth="1"/>
    <col min="13326" max="13326" width="14.7109375" customWidth="1"/>
    <col min="13570" max="13570" width="22.42578125" customWidth="1"/>
    <col min="13571" max="13571" width="17.28515625" customWidth="1"/>
    <col min="13572" max="13572" width="9.28515625" customWidth="1"/>
    <col min="13573" max="13573" width="9.42578125" customWidth="1"/>
    <col min="13574" max="13574" width="9.5703125" customWidth="1"/>
    <col min="13575" max="13575" width="9.42578125" customWidth="1"/>
    <col min="13576" max="13576" width="9.42578125" bestFit="1" customWidth="1"/>
    <col min="13577" max="13577" width="12.5703125" customWidth="1"/>
    <col min="13578" max="13578" width="12.7109375" customWidth="1"/>
    <col min="13579" max="13579" width="8.28515625" customWidth="1"/>
    <col min="13581" max="13581" width="10.28515625" customWidth="1"/>
    <col min="13582" max="13582" width="14.7109375" customWidth="1"/>
    <col min="13826" max="13826" width="22.42578125" customWidth="1"/>
    <col min="13827" max="13827" width="17.28515625" customWidth="1"/>
    <col min="13828" max="13828" width="9.28515625" customWidth="1"/>
    <col min="13829" max="13829" width="9.42578125" customWidth="1"/>
    <col min="13830" max="13830" width="9.5703125" customWidth="1"/>
    <col min="13831" max="13831" width="9.42578125" customWidth="1"/>
    <col min="13832" max="13832" width="9.42578125" bestFit="1" customWidth="1"/>
    <col min="13833" max="13833" width="12.5703125" customWidth="1"/>
    <col min="13834" max="13834" width="12.7109375" customWidth="1"/>
    <col min="13835" max="13835" width="8.28515625" customWidth="1"/>
    <col min="13837" max="13837" width="10.28515625" customWidth="1"/>
    <col min="13838" max="13838" width="14.7109375" customWidth="1"/>
    <col min="14082" max="14082" width="22.42578125" customWidth="1"/>
    <col min="14083" max="14083" width="17.28515625" customWidth="1"/>
    <col min="14084" max="14084" width="9.28515625" customWidth="1"/>
    <col min="14085" max="14085" width="9.42578125" customWidth="1"/>
    <col min="14086" max="14086" width="9.5703125" customWidth="1"/>
    <col min="14087" max="14087" width="9.42578125" customWidth="1"/>
    <col min="14088" max="14088" width="9.42578125" bestFit="1" customWidth="1"/>
    <col min="14089" max="14089" width="12.5703125" customWidth="1"/>
    <col min="14090" max="14090" width="12.7109375" customWidth="1"/>
    <col min="14091" max="14091" width="8.28515625" customWidth="1"/>
    <col min="14093" max="14093" width="10.28515625" customWidth="1"/>
    <col min="14094" max="14094" width="14.7109375" customWidth="1"/>
    <col min="14338" max="14338" width="22.42578125" customWidth="1"/>
    <col min="14339" max="14339" width="17.28515625" customWidth="1"/>
    <col min="14340" max="14340" width="9.28515625" customWidth="1"/>
    <col min="14341" max="14341" width="9.42578125" customWidth="1"/>
    <col min="14342" max="14342" width="9.5703125" customWidth="1"/>
    <col min="14343" max="14343" width="9.42578125" customWidth="1"/>
    <col min="14344" max="14344" width="9.42578125" bestFit="1" customWidth="1"/>
    <col min="14345" max="14345" width="12.5703125" customWidth="1"/>
    <col min="14346" max="14346" width="12.7109375" customWidth="1"/>
    <col min="14347" max="14347" width="8.28515625" customWidth="1"/>
    <col min="14349" max="14349" width="10.28515625" customWidth="1"/>
    <col min="14350" max="14350" width="14.7109375" customWidth="1"/>
    <col min="14594" max="14594" width="22.42578125" customWidth="1"/>
    <col min="14595" max="14595" width="17.28515625" customWidth="1"/>
    <col min="14596" max="14596" width="9.28515625" customWidth="1"/>
    <col min="14597" max="14597" width="9.42578125" customWidth="1"/>
    <col min="14598" max="14598" width="9.5703125" customWidth="1"/>
    <col min="14599" max="14599" width="9.42578125" customWidth="1"/>
    <col min="14600" max="14600" width="9.42578125" bestFit="1" customWidth="1"/>
    <col min="14601" max="14601" width="12.5703125" customWidth="1"/>
    <col min="14602" max="14602" width="12.7109375" customWidth="1"/>
    <col min="14603" max="14603" width="8.28515625" customWidth="1"/>
    <col min="14605" max="14605" width="10.28515625" customWidth="1"/>
    <col min="14606" max="14606" width="14.7109375" customWidth="1"/>
    <col min="14850" max="14850" width="22.42578125" customWidth="1"/>
    <col min="14851" max="14851" width="17.28515625" customWidth="1"/>
    <col min="14852" max="14852" width="9.28515625" customWidth="1"/>
    <col min="14853" max="14853" width="9.42578125" customWidth="1"/>
    <col min="14854" max="14854" width="9.5703125" customWidth="1"/>
    <col min="14855" max="14855" width="9.42578125" customWidth="1"/>
    <col min="14856" max="14856" width="9.42578125" bestFit="1" customWidth="1"/>
    <col min="14857" max="14857" width="12.5703125" customWidth="1"/>
    <col min="14858" max="14858" width="12.7109375" customWidth="1"/>
    <col min="14859" max="14859" width="8.28515625" customWidth="1"/>
    <col min="14861" max="14861" width="10.28515625" customWidth="1"/>
    <col min="14862" max="14862" width="14.7109375" customWidth="1"/>
    <col min="15106" max="15106" width="22.42578125" customWidth="1"/>
    <col min="15107" max="15107" width="17.28515625" customWidth="1"/>
    <col min="15108" max="15108" width="9.28515625" customWidth="1"/>
    <col min="15109" max="15109" width="9.42578125" customWidth="1"/>
    <col min="15110" max="15110" width="9.5703125" customWidth="1"/>
    <col min="15111" max="15111" width="9.42578125" customWidth="1"/>
    <col min="15112" max="15112" width="9.42578125" bestFit="1" customWidth="1"/>
    <col min="15113" max="15113" width="12.5703125" customWidth="1"/>
    <col min="15114" max="15114" width="12.7109375" customWidth="1"/>
    <col min="15115" max="15115" width="8.28515625" customWidth="1"/>
    <col min="15117" max="15117" width="10.28515625" customWidth="1"/>
    <col min="15118" max="15118" width="14.7109375" customWidth="1"/>
    <col min="15362" max="15362" width="22.42578125" customWidth="1"/>
    <col min="15363" max="15363" width="17.28515625" customWidth="1"/>
    <col min="15364" max="15364" width="9.28515625" customWidth="1"/>
    <col min="15365" max="15365" width="9.42578125" customWidth="1"/>
    <col min="15366" max="15366" width="9.5703125" customWidth="1"/>
    <col min="15367" max="15367" width="9.42578125" customWidth="1"/>
    <col min="15368" max="15368" width="9.42578125" bestFit="1" customWidth="1"/>
    <col min="15369" max="15369" width="12.5703125" customWidth="1"/>
    <col min="15370" max="15370" width="12.7109375" customWidth="1"/>
    <col min="15371" max="15371" width="8.28515625" customWidth="1"/>
    <col min="15373" max="15373" width="10.28515625" customWidth="1"/>
    <col min="15374" max="15374" width="14.7109375" customWidth="1"/>
    <col min="15618" max="15618" width="22.42578125" customWidth="1"/>
    <col min="15619" max="15619" width="17.28515625" customWidth="1"/>
    <col min="15620" max="15620" width="9.28515625" customWidth="1"/>
    <col min="15621" max="15621" width="9.42578125" customWidth="1"/>
    <col min="15622" max="15622" width="9.5703125" customWidth="1"/>
    <col min="15623" max="15623" width="9.42578125" customWidth="1"/>
    <col min="15624" max="15624" width="9.42578125" bestFit="1" customWidth="1"/>
    <col min="15625" max="15625" width="12.5703125" customWidth="1"/>
    <col min="15626" max="15626" width="12.7109375" customWidth="1"/>
    <col min="15627" max="15627" width="8.28515625" customWidth="1"/>
    <col min="15629" max="15629" width="10.28515625" customWidth="1"/>
    <col min="15630" max="15630" width="14.7109375" customWidth="1"/>
    <col min="15874" max="15874" width="22.42578125" customWidth="1"/>
    <col min="15875" max="15875" width="17.28515625" customWidth="1"/>
    <col min="15876" max="15876" width="9.28515625" customWidth="1"/>
    <col min="15877" max="15877" width="9.42578125" customWidth="1"/>
    <col min="15878" max="15878" width="9.5703125" customWidth="1"/>
    <col min="15879" max="15879" width="9.42578125" customWidth="1"/>
    <col min="15880" max="15880" width="9.42578125" bestFit="1" customWidth="1"/>
    <col min="15881" max="15881" width="12.5703125" customWidth="1"/>
    <col min="15882" max="15882" width="12.7109375" customWidth="1"/>
    <col min="15883" max="15883" width="8.28515625" customWidth="1"/>
    <col min="15885" max="15885" width="10.28515625" customWidth="1"/>
    <col min="15886" max="15886" width="14.7109375" customWidth="1"/>
    <col min="16130" max="16130" width="22.42578125" customWidth="1"/>
    <col min="16131" max="16131" width="17.28515625" customWidth="1"/>
    <col min="16132" max="16132" width="9.28515625" customWidth="1"/>
    <col min="16133" max="16133" width="9.42578125" customWidth="1"/>
    <col min="16134" max="16134" width="9.5703125" customWidth="1"/>
    <col min="16135" max="16135" width="9.42578125" customWidth="1"/>
    <col min="16136" max="16136" width="9.42578125" bestFit="1" customWidth="1"/>
    <col min="16137" max="16137" width="12.5703125" customWidth="1"/>
    <col min="16138" max="16138" width="12.7109375" customWidth="1"/>
    <col min="16139" max="16139" width="8.28515625" customWidth="1"/>
    <col min="16141" max="16141" width="10.28515625" customWidth="1"/>
    <col min="16142" max="16142" width="14.7109375" customWidth="1"/>
  </cols>
  <sheetData>
    <row r="1" spans="2:15" ht="15.75" x14ac:dyDescent="0.25">
      <c r="B1" s="421" t="s">
        <v>0</v>
      </c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</row>
    <row r="2" spans="2:15" x14ac:dyDescent="0.25">
      <c r="B2" s="422" t="s">
        <v>52</v>
      </c>
      <c r="C2" s="422"/>
      <c r="D2" s="422"/>
      <c r="E2" s="422"/>
      <c r="F2" s="422"/>
      <c r="G2" s="422"/>
      <c r="H2" s="422"/>
      <c r="I2" s="422"/>
      <c r="J2" s="422"/>
      <c r="K2" s="422"/>
      <c r="L2" s="422"/>
      <c r="M2" s="422"/>
      <c r="N2" s="422"/>
      <c r="O2" s="422"/>
    </row>
    <row r="3" spans="2:15" x14ac:dyDescent="0.25">
      <c r="B3" s="9"/>
      <c r="C3" s="9"/>
      <c r="D3" s="9"/>
      <c r="E3" s="73"/>
      <c r="F3" s="73"/>
      <c r="G3" s="73"/>
      <c r="H3" s="73"/>
      <c r="I3" s="73"/>
      <c r="J3" s="72"/>
      <c r="K3" s="72"/>
      <c r="L3" s="73"/>
      <c r="M3" s="73"/>
      <c r="N3" s="72"/>
      <c r="O3" s="9"/>
    </row>
    <row r="4" spans="2:15" ht="15.75" x14ac:dyDescent="0.25">
      <c r="B4" s="421" t="s">
        <v>53</v>
      </c>
      <c r="C4" s="421"/>
      <c r="D4" s="421"/>
      <c r="E4" s="421"/>
      <c r="F4" s="421"/>
      <c r="G4" s="421"/>
      <c r="H4" s="421"/>
      <c r="I4" s="421"/>
      <c r="J4" s="421"/>
      <c r="K4" s="421"/>
      <c r="L4" s="421"/>
      <c r="M4" s="421"/>
      <c r="N4" s="421"/>
      <c r="O4" s="421"/>
    </row>
    <row r="5" spans="2:15" x14ac:dyDescent="0.25">
      <c r="B5" s="423" t="s">
        <v>124</v>
      </c>
      <c r="C5" s="423"/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423"/>
    </row>
    <row r="6" spans="2:15" x14ac:dyDescent="0.25">
      <c r="B6" s="9"/>
      <c r="C6" s="9"/>
      <c r="D6" s="9"/>
      <c r="E6" s="73"/>
      <c r="F6" s="73"/>
      <c r="G6" s="73"/>
      <c r="H6" s="73"/>
      <c r="I6" s="73"/>
      <c r="J6" s="72"/>
      <c r="K6" s="72"/>
      <c r="L6" s="73"/>
      <c r="M6" s="73"/>
      <c r="N6" s="72"/>
      <c r="O6" s="9"/>
    </row>
    <row r="7" spans="2:15" x14ac:dyDescent="0.25">
      <c r="B7" s="424" t="s">
        <v>54</v>
      </c>
      <c r="C7" s="424"/>
      <c r="D7" s="424"/>
      <c r="E7" s="424"/>
      <c r="F7" s="424"/>
      <c r="G7" s="424"/>
      <c r="H7" s="424"/>
      <c r="I7" s="424"/>
      <c r="J7" s="424"/>
      <c r="K7" s="424"/>
      <c r="L7" s="424"/>
      <c r="M7" s="424"/>
      <c r="N7" s="424"/>
      <c r="O7" s="424"/>
    </row>
    <row r="8" spans="2:15" x14ac:dyDescent="0.25">
      <c r="B8" s="424" t="s">
        <v>55</v>
      </c>
      <c r="C8" s="424"/>
      <c r="D8" s="424"/>
      <c r="E8" s="424"/>
      <c r="F8" s="424"/>
      <c r="G8" s="424"/>
      <c r="H8" s="424"/>
      <c r="I8" s="424"/>
      <c r="J8" s="424"/>
      <c r="K8" s="424"/>
      <c r="L8" s="424"/>
      <c r="M8" s="424"/>
      <c r="N8" s="424"/>
      <c r="O8" s="424"/>
    </row>
    <row r="9" spans="2:15" x14ac:dyDescent="0.25">
      <c r="B9" s="9"/>
      <c r="C9" s="9"/>
      <c r="D9" s="9"/>
      <c r="E9" s="73"/>
      <c r="F9" s="73"/>
      <c r="G9" s="73"/>
      <c r="H9" s="73"/>
      <c r="I9" s="73"/>
      <c r="J9" s="72"/>
      <c r="K9" s="72"/>
      <c r="L9" s="73"/>
      <c r="M9" s="73"/>
      <c r="N9" s="72"/>
      <c r="O9" s="9"/>
    </row>
    <row r="10" spans="2:15" x14ac:dyDescent="0.25">
      <c r="B10" s="74"/>
      <c r="C10" s="74"/>
      <c r="D10" s="74"/>
      <c r="E10" s="107"/>
      <c r="F10" s="107"/>
      <c r="G10" s="107"/>
      <c r="H10" s="107"/>
      <c r="I10" s="107"/>
      <c r="J10" s="75"/>
      <c r="K10" s="425" t="s">
        <v>56</v>
      </c>
      <c r="L10" s="426"/>
      <c r="M10" s="427"/>
      <c r="N10" s="75"/>
      <c r="O10" s="76"/>
    </row>
    <row r="11" spans="2:15" x14ac:dyDescent="0.25">
      <c r="B11" s="79"/>
      <c r="C11" s="79"/>
      <c r="D11" s="79"/>
      <c r="E11" s="108" t="s">
        <v>57</v>
      </c>
      <c r="F11" s="108" t="s">
        <v>58</v>
      </c>
      <c r="G11" s="109" t="s">
        <v>59</v>
      </c>
      <c r="H11" s="109" t="s">
        <v>58</v>
      </c>
      <c r="I11" s="109" t="s">
        <v>71</v>
      </c>
      <c r="J11" s="77" t="s">
        <v>60</v>
      </c>
      <c r="K11" s="77" t="s">
        <v>61</v>
      </c>
      <c r="L11" s="81" t="s">
        <v>62</v>
      </c>
      <c r="M11" s="80" t="s">
        <v>63</v>
      </c>
      <c r="N11" s="81" t="s">
        <v>64</v>
      </c>
      <c r="O11" s="78" t="s">
        <v>65</v>
      </c>
    </row>
    <row r="12" spans="2:15" x14ac:dyDescent="0.25">
      <c r="B12" s="79" t="s">
        <v>66</v>
      </c>
      <c r="C12" s="79" t="s">
        <v>67</v>
      </c>
      <c r="D12" s="79" t="s">
        <v>68</v>
      </c>
      <c r="E12" s="108" t="s">
        <v>69</v>
      </c>
      <c r="F12" s="108" t="s">
        <v>97</v>
      </c>
      <c r="G12" s="109" t="s">
        <v>70</v>
      </c>
      <c r="H12" s="109" t="s">
        <v>57</v>
      </c>
      <c r="I12" s="109"/>
      <c r="J12" s="77" t="s">
        <v>72</v>
      </c>
      <c r="K12" s="77" t="s">
        <v>73</v>
      </c>
      <c r="L12" s="81"/>
      <c r="M12" s="80"/>
      <c r="N12" s="81" t="s">
        <v>74</v>
      </c>
      <c r="O12" s="82"/>
    </row>
    <row r="13" spans="2:15" x14ac:dyDescent="0.25">
      <c r="B13" s="110"/>
      <c r="C13" s="110"/>
      <c r="D13" s="110"/>
      <c r="E13" s="111"/>
      <c r="F13" s="111" t="s">
        <v>69</v>
      </c>
      <c r="G13" s="112"/>
      <c r="H13" s="112" t="s">
        <v>70</v>
      </c>
      <c r="I13" s="112"/>
      <c r="J13" s="113"/>
      <c r="K13" s="114" t="s">
        <v>75</v>
      </c>
      <c r="L13" s="84"/>
      <c r="M13" s="83"/>
      <c r="N13" s="115"/>
      <c r="O13" s="85"/>
    </row>
    <row r="14" spans="2:15" x14ac:dyDescent="0.25">
      <c r="B14" s="86" t="s">
        <v>76</v>
      </c>
      <c r="C14" s="87" t="s">
        <v>77</v>
      </c>
      <c r="D14" s="87" t="s">
        <v>80</v>
      </c>
      <c r="E14" s="88">
        <v>14600</v>
      </c>
      <c r="F14" s="89">
        <f>E14/2</f>
        <v>7300</v>
      </c>
      <c r="G14" s="161">
        <v>4000</v>
      </c>
      <c r="H14" s="161">
        <v>2000</v>
      </c>
      <c r="I14" s="116"/>
      <c r="J14" s="88">
        <f>F14+H14</f>
        <v>9300</v>
      </c>
      <c r="K14" s="117">
        <v>650</v>
      </c>
      <c r="L14" s="162">
        <v>200</v>
      </c>
      <c r="M14" s="88">
        <v>330.88</v>
      </c>
      <c r="N14" s="88">
        <f t="shared" ref="N14:N19" si="0">J14-K14-L14-M14</f>
        <v>8119.12</v>
      </c>
      <c r="O14" s="90"/>
    </row>
    <row r="15" spans="2:15" x14ac:dyDescent="0.25">
      <c r="B15" s="91" t="s">
        <v>78</v>
      </c>
      <c r="C15" s="87" t="s">
        <v>79</v>
      </c>
      <c r="D15" s="87" t="s">
        <v>80</v>
      </c>
      <c r="E15" s="92">
        <v>14600</v>
      </c>
      <c r="F15" s="93">
        <f t="shared" ref="F15:F19" si="1">E15/2</f>
        <v>7300</v>
      </c>
      <c r="G15" s="118">
        <v>4000</v>
      </c>
      <c r="H15" s="118">
        <v>2000</v>
      </c>
      <c r="I15" s="118"/>
      <c r="J15" s="88">
        <f>F15+H15</f>
        <v>9300</v>
      </c>
      <c r="K15" s="119">
        <v>650</v>
      </c>
      <c r="L15" s="94">
        <v>200</v>
      </c>
      <c r="M15" s="95">
        <v>250.83</v>
      </c>
      <c r="N15" s="88">
        <f t="shared" si="0"/>
        <v>8199.17</v>
      </c>
      <c r="O15" s="90"/>
    </row>
    <row r="16" spans="2:15" x14ac:dyDescent="0.25">
      <c r="B16" s="96" t="s">
        <v>15</v>
      </c>
      <c r="C16" s="87" t="s">
        <v>81</v>
      </c>
      <c r="D16" s="87" t="s">
        <v>80</v>
      </c>
      <c r="E16" s="92">
        <v>21369</v>
      </c>
      <c r="F16" s="93">
        <f t="shared" si="1"/>
        <v>10684.5</v>
      </c>
      <c r="G16" s="120">
        <v>4000</v>
      </c>
      <c r="H16" s="120">
        <v>2000</v>
      </c>
      <c r="I16" s="97"/>
      <c r="J16" s="88">
        <f>F16+H16</f>
        <v>12684.5</v>
      </c>
      <c r="K16" s="121">
        <v>1000</v>
      </c>
      <c r="L16" s="120">
        <v>200</v>
      </c>
      <c r="M16" s="120">
        <v>325</v>
      </c>
      <c r="N16" s="88">
        <f>J16-K16-L16-M16</f>
        <v>11159.5</v>
      </c>
      <c r="O16" s="90"/>
    </row>
    <row r="17" spans="2:15" x14ac:dyDescent="0.25">
      <c r="B17" s="91" t="s">
        <v>82</v>
      </c>
      <c r="C17" s="87" t="s">
        <v>83</v>
      </c>
      <c r="D17" s="87" t="s">
        <v>80</v>
      </c>
      <c r="E17" s="92">
        <v>14600</v>
      </c>
      <c r="F17" s="93">
        <f t="shared" si="1"/>
        <v>7300</v>
      </c>
      <c r="G17" s="95">
        <v>4000</v>
      </c>
      <c r="H17" s="95">
        <v>2000</v>
      </c>
      <c r="I17" s="95"/>
      <c r="J17" s="88">
        <f>F17+H17</f>
        <v>9300</v>
      </c>
      <c r="K17" s="121">
        <v>650</v>
      </c>
      <c r="L17" s="95">
        <v>200</v>
      </c>
      <c r="M17" s="95">
        <v>250</v>
      </c>
      <c r="N17" s="88">
        <f t="shared" si="0"/>
        <v>8200</v>
      </c>
      <c r="O17" s="90"/>
    </row>
    <row r="18" spans="2:15" x14ac:dyDescent="0.25">
      <c r="B18" s="91" t="s">
        <v>84</v>
      </c>
      <c r="C18" s="87" t="s">
        <v>85</v>
      </c>
      <c r="D18" s="87" t="s">
        <v>80</v>
      </c>
      <c r="E18" s="92">
        <v>21369</v>
      </c>
      <c r="F18" s="93">
        <f t="shared" si="1"/>
        <v>10684.5</v>
      </c>
      <c r="G18" s="122">
        <v>4000</v>
      </c>
      <c r="H18" s="122">
        <v>2000</v>
      </c>
      <c r="I18" s="123"/>
      <c r="J18" s="88">
        <f>F18+H18</f>
        <v>12684.5</v>
      </c>
      <c r="K18" s="121">
        <v>1000</v>
      </c>
      <c r="L18" s="120">
        <v>200</v>
      </c>
      <c r="M18" s="120">
        <v>325</v>
      </c>
      <c r="N18" s="88">
        <f t="shared" si="0"/>
        <v>11159.5</v>
      </c>
      <c r="O18" s="98"/>
    </row>
    <row r="19" spans="2:15" x14ac:dyDescent="0.25">
      <c r="B19" s="86" t="s">
        <v>5</v>
      </c>
      <c r="C19" s="87" t="s">
        <v>86</v>
      </c>
      <c r="D19" s="87" t="s">
        <v>80</v>
      </c>
      <c r="E19" s="92">
        <v>26869</v>
      </c>
      <c r="F19" s="93">
        <f t="shared" si="1"/>
        <v>13434.5</v>
      </c>
      <c r="G19" s="95">
        <v>5000</v>
      </c>
      <c r="H19" s="95">
        <v>2500</v>
      </c>
      <c r="I19" s="88">
        <v>2250</v>
      </c>
      <c r="J19" s="88">
        <f>F19+H19+I19</f>
        <v>18184.5</v>
      </c>
      <c r="K19" s="121">
        <v>1275</v>
      </c>
      <c r="L19" s="95">
        <v>200</v>
      </c>
      <c r="M19" s="95">
        <v>637.5</v>
      </c>
      <c r="N19" s="88">
        <f t="shared" si="0"/>
        <v>16072</v>
      </c>
      <c r="O19" s="98"/>
    </row>
    <row r="20" spans="2:15" x14ac:dyDescent="0.25">
      <c r="B20" s="428" t="s">
        <v>87</v>
      </c>
      <c r="C20" s="429"/>
      <c r="D20" s="429"/>
      <c r="E20" s="429"/>
      <c r="F20" s="429"/>
      <c r="G20" s="429"/>
      <c r="H20" s="429"/>
      <c r="I20" s="429"/>
      <c r="J20" s="429"/>
      <c r="K20" s="429"/>
      <c r="L20" s="429"/>
      <c r="M20" s="429"/>
      <c r="N20" s="429"/>
      <c r="O20" s="430"/>
    </row>
    <row r="21" spans="2:15" x14ac:dyDescent="0.25">
      <c r="B21" s="98"/>
      <c r="C21" s="98"/>
      <c r="D21" s="98"/>
      <c r="E21" s="95"/>
      <c r="F21" s="95"/>
      <c r="G21" s="95"/>
      <c r="H21" s="95"/>
      <c r="I21" s="95"/>
      <c r="J21" s="92"/>
      <c r="K21" s="92"/>
      <c r="L21" s="95"/>
      <c r="M21" s="95"/>
      <c r="N21" s="92"/>
      <c r="O21" s="98"/>
    </row>
    <row r="22" spans="2:15" x14ac:dyDescent="0.25">
      <c r="B22" s="98"/>
      <c r="C22" s="98"/>
      <c r="D22" s="98"/>
      <c r="E22" s="95"/>
      <c r="F22" s="95"/>
      <c r="G22" s="95"/>
      <c r="H22" s="95"/>
      <c r="I22" s="95"/>
      <c r="J22" s="92"/>
      <c r="K22" s="92"/>
      <c r="L22" s="95"/>
      <c r="M22" s="95"/>
      <c r="N22" s="92"/>
      <c r="O22" s="98"/>
    </row>
    <row r="23" spans="2:15" x14ac:dyDescent="0.25">
      <c r="B23" s="98"/>
      <c r="C23" s="98"/>
      <c r="D23" s="98"/>
      <c r="E23" s="95"/>
      <c r="F23" s="95"/>
      <c r="G23" s="95"/>
      <c r="H23" s="95"/>
      <c r="I23" s="95"/>
      <c r="J23" s="92"/>
      <c r="K23" s="92"/>
      <c r="L23" s="95"/>
      <c r="M23" s="95"/>
      <c r="N23" s="92"/>
      <c r="O23" s="98"/>
    </row>
    <row r="24" spans="2:15" x14ac:dyDescent="0.25">
      <c r="B24" s="98"/>
      <c r="C24" s="98"/>
      <c r="D24" s="98"/>
      <c r="E24" s="95"/>
      <c r="F24" s="95"/>
      <c r="G24" s="95"/>
      <c r="H24" s="95"/>
      <c r="I24" s="95"/>
      <c r="J24" s="92"/>
      <c r="K24" s="92"/>
      <c r="L24" s="95"/>
      <c r="M24" s="95"/>
      <c r="N24" s="92"/>
      <c r="O24" s="98"/>
    </row>
    <row r="25" spans="2:15" x14ac:dyDescent="0.25">
      <c r="B25" s="98"/>
      <c r="C25" s="98"/>
      <c r="D25" s="98"/>
      <c r="E25" s="95"/>
      <c r="F25" s="95"/>
      <c r="G25" s="95"/>
      <c r="H25" s="95"/>
      <c r="I25" s="95"/>
      <c r="J25" s="92"/>
      <c r="K25" s="92"/>
      <c r="L25" s="95"/>
      <c r="M25" s="95"/>
      <c r="N25" s="92"/>
      <c r="O25" s="98"/>
    </row>
    <row r="26" spans="2:15" x14ac:dyDescent="0.25">
      <c r="B26" s="98"/>
      <c r="C26" s="98"/>
      <c r="D26" s="98"/>
      <c r="E26" s="95"/>
      <c r="F26" s="95"/>
      <c r="G26" s="95"/>
      <c r="H26" s="95"/>
      <c r="I26" s="95"/>
      <c r="J26" s="92"/>
      <c r="K26" s="92"/>
      <c r="L26" s="95"/>
      <c r="M26" s="95"/>
      <c r="N26" s="92"/>
      <c r="O26" s="90"/>
    </row>
    <row r="27" spans="2:15" x14ac:dyDescent="0.25">
      <c r="B27" s="98"/>
      <c r="C27" s="98"/>
      <c r="D27" s="98"/>
      <c r="E27" s="95"/>
      <c r="F27" s="95"/>
      <c r="G27" s="95"/>
      <c r="H27" s="95"/>
      <c r="I27" s="95"/>
      <c r="J27" s="92"/>
      <c r="K27" s="92"/>
      <c r="L27" s="95"/>
      <c r="M27" s="95"/>
      <c r="N27" s="92"/>
      <c r="O27" s="90"/>
    </row>
    <row r="28" spans="2:15" x14ac:dyDescent="0.25">
      <c r="B28" s="98"/>
      <c r="C28" s="98"/>
      <c r="D28" s="98"/>
      <c r="E28" s="95"/>
      <c r="F28" s="95"/>
      <c r="G28" s="95"/>
      <c r="H28" s="95"/>
      <c r="I28" s="95"/>
      <c r="J28" s="92"/>
      <c r="K28" s="92"/>
      <c r="L28" s="95"/>
      <c r="M28" s="95"/>
      <c r="N28" s="92"/>
      <c r="O28" s="98"/>
    </row>
    <row r="29" spans="2:15" x14ac:dyDescent="0.25">
      <c r="B29" s="98"/>
      <c r="C29" s="98"/>
      <c r="D29" s="99" t="s">
        <v>32</v>
      </c>
      <c r="E29" s="88">
        <f t="shared" ref="E29:N29" si="2">SUM(E14:E28)</f>
        <v>113407</v>
      </c>
      <c r="F29" s="88">
        <f t="shared" si="2"/>
        <v>56703.5</v>
      </c>
      <c r="G29" s="88">
        <f t="shared" si="2"/>
        <v>25000</v>
      </c>
      <c r="H29" s="88">
        <f t="shared" si="2"/>
        <v>12500</v>
      </c>
      <c r="I29" s="88">
        <f t="shared" si="2"/>
        <v>2250</v>
      </c>
      <c r="J29" s="88">
        <f t="shared" si="2"/>
        <v>71453.5</v>
      </c>
      <c r="K29" s="88">
        <f t="shared" si="2"/>
        <v>5225</v>
      </c>
      <c r="L29" s="88">
        <f t="shared" si="2"/>
        <v>1200</v>
      </c>
      <c r="M29" s="88">
        <f t="shared" si="2"/>
        <v>2119.21</v>
      </c>
      <c r="N29" s="100">
        <f t="shared" si="2"/>
        <v>62909.29</v>
      </c>
      <c r="O29" s="90"/>
    </row>
    <row r="30" spans="2:15" x14ac:dyDescent="0.25">
      <c r="B30" s="101"/>
      <c r="C30" s="101"/>
      <c r="D30" s="102"/>
      <c r="E30" s="104"/>
      <c r="F30" s="104"/>
      <c r="G30" s="104"/>
      <c r="H30" s="104"/>
      <c r="I30" s="104"/>
      <c r="K30" s="103"/>
      <c r="L30" s="104"/>
      <c r="M30" s="104" t="s">
        <v>89</v>
      </c>
      <c r="N30" s="103"/>
      <c r="O30" s="105"/>
    </row>
    <row r="31" spans="2:15" x14ac:dyDescent="0.25">
      <c r="B31" s="101"/>
      <c r="C31" s="101"/>
      <c r="D31" s="102"/>
      <c r="E31" s="104"/>
      <c r="F31" s="104"/>
      <c r="G31" s="104"/>
      <c r="H31" s="104"/>
      <c r="I31" s="104"/>
      <c r="J31" s="103"/>
      <c r="K31" s="103"/>
      <c r="L31" s="104"/>
      <c r="M31" s="104" t="s">
        <v>90</v>
      </c>
      <c r="N31" s="103"/>
      <c r="O31" s="106"/>
    </row>
    <row r="32" spans="2:15" x14ac:dyDescent="0.25">
      <c r="B32" s="101" t="s">
        <v>12</v>
      </c>
      <c r="C32" s="101"/>
      <c r="D32" s="102"/>
      <c r="E32" s="104" t="s">
        <v>13</v>
      </c>
      <c r="F32" s="104"/>
      <c r="G32" s="104"/>
      <c r="H32" s="104"/>
      <c r="I32" s="104"/>
      <c r="J32" s="103"/>
      <c r="K32" s="124" t="s">
        <v>88</v>
      </c>
      <c r="L32" s="104"/>
      <c r="M32" s="104" t="s">
        <v>91</v>
      </c>
      <c r="N32" s="103"/>
      <c r="O32" s="106"/>
    </row>
    <row r="33" spans="2:15" x14ac:dyDescent="0.25">
      <c r="B33" s="101"/>
      <c r="C33" s="101"/>
      <c r="D33" s="102"/>
      <c r="E33" s="104"/>
      <c r="F33" s="104"/>
      <c r="G33" s="104"/>
      <c r="H33" s="104"/>
      <c r="I33" s="104"/>
      <c r="J33" s="103"/>
      <c r="K33" s="103"/>
      <c r="L33" s="104"/>
      <c r="M33" s="104" t="s">
        <v>92</v>
      </c>
      <c r="N33" s="103"/>
      <c r="O33" s="106"/>
    </row>
    <row r="34" spans="2:15" x14ac:dyDescent="0.25">
      <c r="B34" s="101"/>
      <c r="C34" s="101"/>
      <c r="D34" s="102"/>
      <c r="E34" s="104"/>
      <c r="F34" s="104"/>
      <c r="G34" s="104"/>
      <c r="H34" s="104"/>
      <c r="I34" s="104"/>
      <c r="J34" s="103"/>
      <c r="K34" s="103"/>
      <c r="L34" s="104"/>
      <c r="M34" s="104"/>
      <c r="N34" s="103"/>
      <c r="O34" s="106"/>
    </row>
    <row r="35" spans="2:15" ht="14.25" customHeight="1" x14ac:dyDescent="0.25">
      <c r="B35" s="431" t="s">
        <v>93</v>
      </c>
      <c r="C35" s="431"/>
      <c r="D35" s="431"/>
      <c r="E35" s="432" t="s">
        <v>94</v>
      </c>
      <c r="F35" s="432"/>
      <c r="G35" s="432"/>
      <c r="H35" s="125"/>
      <c r="I35" s="125"/>
      <c r="J35" s="126"/>
      <c r="K35" s="433" t="s">
        <v>22</v>
      </c>
      <c r="L35" s="433"/>
      <c r="M35" s="127"/>
      <c r="N35" s="103"/>
      <c r="O35" s="106"/>
    </row>
    <row r="36" spans="2:15" x14ac:dyDescent="0.25">
      <c r="B36" s="152" t="s">
        <v>95</v>
      </c>
      <c r="C36" s="152"/>
      <c r="D36" s="128"/>
      <c r="E36" s="419" t="s">
        <v>18</v>
      </c>
      <c r="F36" s="419"/>
      <c r="G36" s="419"/>
      <c r="H36" s="127"/>
      <c r="I36" s="127"/>
      <c r="J36" s="129"/>
      <c r="K36" s="420" t="s">
        <v>24</v>
      </c>
      <c r="L36" s="420"/>
      <c r="M36" s="127"/>
      <c r="N36" s="103"/>
      <c r="O36" s="106"/>
    </row>
    <row r="37" spans="2:15" x14ac:dyDescent="0.25">
      <c r="B37" s="101"/>
      <c r="C37" s="101"/>
      <c r="D37" s="102"/>
      <c r="E37" s="104"/>
      <c r="F37" s="104"/>
      <c r="G37" s="104"/>
      <c r="H37" s="104"/>
      <c r="I37" s="104"/>
      <c r="J37" s="103"/>
      <c r="K37" s="103"/>
      <c r="L37" s="104"/>
      <c r="M37" s="104"/>
      <c r="N37" s="103"/>
      <c r="O37" s="106"/>
    </row>
    <row r="38" spans="2:15" x14ac:dyDescent="0.25">
      <c r="B38" s="101"/>
      <c r="C38" s="101"/>
      <c r="D38" s="102"/>
      <c r="E38" s="104"/>
      <c r="F38" s="104"/>
      <c r="G38" s="104"/>
      <c r="H38" s="104"/>
      <c r="I38" s="104"/>
      <c r="J38" s="103"/>
      <c r="K38" s="103"/>
      <c r="L38" s="104"/>
      <c r="M38" s="104"/>
      <c r="N38" s="103"/>
      <c r="O38" s="105"/>
    </row>
    <row r="39" spans="2:15" x14ac:dyDescent="0.25">
      <c r="B39" s="101"/>
      <c r="C39" s="101"/>
      <c r="D39" s="102"/>
      <c r="E39" s="104"/>
      <c r="F39" s="104"/>
      <c r="G39" s="104"/>
      <c r="H39" s="104"/>
      <c r="I39" s="104"/>
      <c r="J39" s="103"/>
      <c r="K39" s="103"/>
      <c r="L39" s="104"/>
      <c r="M39" s="104"/>
      <c r="N39" s="103"/>
      <c r="O39" s="105"/>
    </row>
    <row r="40" spans="2:15" x14ac:dyDescent="0.25">
      <c r="B40" s="101"/>
      <c r="C40" s="101"/>
      <c r="D40" s="102"/>
      <c r="E40" s="104"/>
      <c r="F40" s="104"/>
      <c r="G40" s="104"/>
      <c r="H40" s="104"/>
      <c r="I40" s="104"/>
      <c r="J40" s="103"/>
      <c r="K40" s="103"/>
      <c r="L40" s="104"/>
      <c r="M40" s="104"/>
      <c r="N40" s="103"/>
      <c r="O40" s="105"/>
    </row>
    <row r="41" spans="2:15" x14ac:dyDescent="0.25">
      <c r="B41" s="101"/>
      <c r="C41" s="101"/>
      <c r="D41" s="102"/>
      <c r="E41" s="104"/>
      <c r="F41" s="104"/>
      <c r="G41" s="104"/>
      <c r="H41" s="104"/>
      <c r="I41" s="104"/>
      <c r="J41" s="103"/>
      <c r="K41" s="103"/>
      <c r="L41" s="104"/>
      <c r="M41" s="104"/>
      <c r="N41" s="103"/>
      <c r="O41" s="105"/>
    </row>
    <row r="42" spans="2:15" x14ac:dyDescent="0.25">
      <c r="B42" s="101"/>
      <c r="C42" s="101"/>
      <c r="E42" s="104"/>
      <c r="F42" s="104"/>
      <c r="G42" s="104"/>
      <c r="H42" s="104"/>
      <c r="I42" s="104"/>
      <c r="J42" s="103"/>
      <c r="K42" s="103"/>
      <c r="L42" s="104"/>
      <c r="M42" s="104"/>
      <c r="N42" s="103"/>
      <c r="O42" s="105"/>
    </row>
    <row r="43" spans="2:15" x14ac:dyDescent="0.25">
      <c r="B43" s="9"/>
      <c r="C43" s="9"/>
      <c r="D43" s="9"/>
      <c r="E43" s="73"/>
      <c r="F43" s="73"/>
      <c r="G43" s="73"/>
      <c r="H43" s="73"/>
      <c r="I43" s="73"/>
      <c r="J43" s="72"/>
      <c r="K43" s="72"/>
      <c r="L43" s="73"/>
      <c r="M43" s="73"/>
      <c r="N43" s="72"/>
      <c r="O43" s="9"/>
    </row>
    <row r="44" spans="2:15" x14ac:dyDescent="0.25">
      <c r="B44" s="9"/>
      <c r="C44" s="9"/>
      <c r="D44" s="9"/>
      <c r="E44" s="73"/>
      <c r="F44" s="73"/>
      <c r="G44" s="73"/>
      <c r="H44" s="73"/>
      <c r="I44" s="73"/>
      <c r="J44" s="72"/>
      <c r="K44" s="72"/>
      <c r="L44" s="73"/>
      <c r="M44" s="73"/>
      <c r="N44" s="72"/>
      <c r="O44" s="9"/>
    </row>
    <row r="45" spans="2:15" x14ac:dyDescent="0.25">
      <c r="B45" s="9"/>
      <c r="C45" s="9"/>
      <c r="D45" s="9"/>
      <c r="E45" s="73"/>
      <c r="F45" s="73"/>
      <c r="G45" s="73"/>
      <c r="H45" s="73"/>
      <c r="I45" s="73"/>
      <c r="J45" s="72"/>
      <c r="K45" s="72"/>
      <c r="L45" s="73"/>
      <c r="M45" s="73"/>
      <c r="N45" s="72"/>
      <c r="O45" s="9"/>
    </row>
    <row r="46" spans="2:15" x14ac:dyDescent="0.25">
      <c r="B46" s="9"/>
      <c r="C46" s="9"/>
      <c r="D46" s="9"/>
      <c r="E46" s="73"/>
      <c r="F46" s="73"/>
      <c r="G46" s="73"/>
      <c r="H46" s="73"/>
      <c r="I46" s="73"/>
      <c r="J46" s="72"/>
      <c r="K46" s="72"/>
      <c r="L46" s="73"/>
      <c r="M46" s="73"/>
      <c r="N46" s="72"/>
      <c r="O46" s="9"/>
    </row>
    <row r="47" spans="2:15" x14ac:dyDescent="0.25">
      <c r="B47" s="9"/>
      <c r="C47" s="9"/>
      <c r="D47" s="9"/>
      <c r="E47" s="73"/>
      <c r="F47" s="73"/>
      <c r="G47" s="73"/>
      <c r="H47" s="73"/>
      <c r="I47" s="73"/>
      <c r="J47" s="72"/>
      <c r="K47" s="72"/>
      <c r="L47" s="73"/>
      <c r="M47" s="73"/>
      <c r="N47" s="72"/>
      <c r="O47" s="9"/>
    </row>
    <row r="48" spans="2:15" x14ac:dyDescent="0.25">
      <c r="B48" s="9"/>
      <c r="C48" s="9"/>
      <c r="D48" s="9"/>
      <c r="E48" s="73"/>
      <c r="F48" s="73"/>
      <c r="G48" s="73"/>
      <c r="H48" s="73"/>
      <c r="I48" s="73"/>
      <c r="J48" s="72"/>
      <c r="K48" s="72"/>
      <c r="L48" s="73"/>
      <c r="M48" s="73"/>
      <c r="N48" s="72"/>
      <c r="O48" s="9"/>
    </row>
    <row r="49" spans="2:15" x14ac:dyDescent="0.25">
      <c r="B49" s="9"/>
      <c r="C49" s="9"/>
      <c r="D49" s="9"/>
      <c r="E49" s="73"/>
      <c r="F49" s="73"/>
      <c r="G49" s="73"/>
      <c r="H49" s="73"/>
      <c r="I49" s="73"/>
      <c r="J49" s="72"/>
      <c r="K49" s="72"/>
      <c r="L49" s="73"/>
      <c r="M49" s="73"/>
      <c r="N49" s="72"/>
      <c r="O49" s="9"/>
    </row>
    <row r="50" spans="2:15" x14ac:dyDescent="0.25">
      <c r="B50" s="9"/>
      <c r="C50" s="9"/>
      <c r="D50" s="9"/>
      <c r="E50" s="73"/>
      <c r="F50" s="73"/>
      <c r="G50" s="73"/>
      <c r="H50" s="73"/>
      <c r="I50" s="73"/>
      <c r="J50" s="72"/>
      <c r="K50" s="72"/>
      <c r="L50" s="73"/>
      <c r="M50" s="73"/>
      <c r="N50" s="72"/>
      <c r="O50" s="9"/>
    </row>
    <row r="51" spans="2:15" x14ac:dyDescent="0.25">
      <c r="B51" s="9"/>
      <c r="C51" s="9"/>
      <c r="D51" s="9"/>
      <c r="E51" s="73"/>
      <c r="F51" s="73"/>
      <c r="G51" s="73"/>
      <c r="H51" s="73"/>
      <c r="I51" s="73"/>
      <c r="J51" s="72"/>
      <c r="K51" s="72"/>
      <c r="L51" s="73"/>
      <c r="M51" s="73"/>
      <c r="N51" s="72"/>
      <c r="O51" s="9"/>
    </row>
    <row r="52" spans="2:15" x14ac:dyDescent="0.25">
      <c r="B52" s="9"/>
      <c r="C52" s="9"/>
      <c r="D52" s="9"/>
      <c r="E52" s="73"/>
      <c r="F52" s="73"/>
      <c r="G52" s="73"/>
      <c r="H52" s="73"/>
      <c r="I52" s="73"/>
      <c r="J52" s="72"/>
      <c r="K52" s="72"/>
      <c r="L52" s="73"/>
      <c r="M52" s="73"/>
      <c r="N52" s="72"/>
      <c r="O52" s="9"/>
    </row>
    <row r="53" spans="2:15" x14ac:dyDescent="0.25">
      <c r="B53" s="9"/>
      <c r="C53" s="9"/>
      <c r="D53" s="9"/>
      <c r="E53" s="73"/>
      <c r="F53" s="73"/>
      <c r="G53" s="73"/>
      <c r="H53" s="73"/>
      <c r="I53" s="73"/>
      <c r="J53" s="72"/>
      <c r="K53" s="72"/>
      <c r="L53" s="73"/>
      <c r="M53" s="73"/>
      <c r="N53" s="72"/>
      <c r="O53" s="9"/>
    </row>
    <row r="54" spans="2:15" x14ac:dyDescent="0.25">
      <c r="B54" s="9"/>
      <c r="C54" s="9"/>
      <c r="D54" s="9"/>
      <c r="E54" s="73"/>
      <c r="F54" s="73"/>
      <c r="G54" s="73"/>
      <c r="H54" s="73"/>
      <c r="I54" s="73"/>
      <c r="J54" s="72"/>
      <c r="K54" s="72"/>
      <c r="L54" s="73"/>
      <c r="M54" s="73"/>
      <c r="N54" s="72"/>
      <c r="O54" s="9"/>
    </row>
    <row r="55" spans="2:15" x14ac:dyDescent="0.25">
      <c r="B55" s="9"/>
      <c r="C55" s="9"/>
      <c r="D55" s="9"/>
      <c r="E55" s="73"/>
      <c r="F55" s="73"/>
      <c r="G55" s="73"/>
      <c r="H55" s="73"/>
      <c r="I55" s="73"/>
      <c r="J55" s="72"/>
      <c r="K55" s="72"/>
      <c r="L55" s="73"/>
      <c r="M55" s="73"/>
      <c r="N55" s="72"/>
      <c r="O55" s="9"/>
    </row>
    <row r="56" spans="2:15" x14ac:dyDescent="0.25">
      <c r="B56" s="9"/>
      <c r="C56" s="9"/>
      <c r="D56" s="9"/>
      <c r="E56" s="73"/>
      <c r="F56" s="73"/>
      <c r="G56" s="73"/>
      <c r="H56" s="73"/>
      <c r="I56" s="73"/>
      <c r="J56" s="72"/>
      <c r="K56" s="72"/>
      <c r="L56" s="73"/>
      <c r="M56" s="73"/>
      <c r="N56" s="72"/>
      <c r="O56" s="9"/>
    </row>
    <row r="57" spans="2:15" x14ac:dyDescent="0.25">
      <c r="B57" s="9"/>
      <c r="C57" s="9"/>
      <c r="D57" s="9"/>
      <c r="E57" s="73"/>
      <c r="F57" s="73"/>
      <c r="G57" s="73"/>
      <c r="H57" s="73"/>
      <c r="I57" s="73"/>
      <c r="J57" s="72"/>
      <c r="K57" s="72"/>
      <c r="L57" s="73"/>
      <c r="M57" s="73"/>
      <c r="N57" s="72"/>
      <c r="O57" s="9"/>
    </row>
    <row r="58" spans="2:15" x14ac:dyDescent="0.25">
      <c r="B58" s="9"/>
      <c r="C58" s="9"/>
      <c r="D58" s="9"/>
      <c r="E58" s="73"/>
      <c r="F58" s="73"/>
      <c r="G58" s="73"/>
      <c r="H58" s="73"/>
      <c r="I58" s="73"/>
      <c r="J58" s="72"/>
      <c r="K58" s="72"/>
      <c r="L58" s="73"/>
      <c r="M58" s="73"/>
      <c r="N58" s="72"/>
      <c r="O58" s="9"/>
    </row>
  </sheetData>
  <mergeCells count="13">
    <mergeCell ref="E36:G36"/>
    <mergeCell ref="K36:L36"/>
    <mergeCell ref="B1:O1"/>
    <mergeCell ref="B2:O2"/>
    <mergeCell ref="B4:O4"/>
    <mergeCell ref="B5:O5"/>
    <mergeCell ref="B7:O7"/>
    <mergeCell ref="B8:O8"/>
    <mergeCell ref="K10:M10"/>
    <mergeCell ref="B20:O20"/>
    <mergeCell ref="B35:D35"/>
    <mergeCell ref="E35:G35"/>
    <mergeCell ref="K35:L35"/>
  </mergeCells>
  <pageMargins left="0.7" right="0.7" top="0.75" bottom="0.75" header="0.3" footer="0.3"/>
  <pageSetup paperSize="14" scale="74" fitToHeight="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B9EF1-EBCD-4CFC-9563-9BCAA97283D1}">
  <sheetPr>
    <pageSetUpPr fitToPage="1"/>
  </sheetPr>
  <dimension ref="A1:K44"/>
  <sheetViews>
    <sheetView workbookViewId="0">
      <selection sqref="A1:G41"/>
    </sheetView>
  </sheetViews>
  <sheetFormatPr defaultColWidth="9.140625" defaultRowHeight="15" x14ac:dyDescent="0.25"/>
  <cols>
    <col min="1" max="1" width="9.85546875" customWidth="1"/>
    <col min="2" max="2" width="5.85546875" customWidth="1"/>
    <col min="3" max="3" width="27.7109375" customWidth="1"/>
    <col min="4" max="4" width="27.42578125" customWidth="1"/>
    <col min="5" max="5" width="2.28515625" customWidth="1"/>
    <col min="6" max="6" width="17.140625" customWidth="1"/>
    <col min="7" max="7" width="16.7109375" customWidth="1"/>
    <col min="8" max="8" width="3.85546875" customWidth="1"/>
  </cols>
  <sheetData>
    <row r="1" spans="1:9" x14ac:dyDescent="0.25">
      <c r="A1" s="422" t="s">
        <v>0</v>
      </c>
      <c r="B1" s="422"/>
      <c r="C1" s="422"/>
      <c r="D1" s="422"/>
      <c r="E1" s="422"/>
      <c r="F1" s="422"/>
      <c r="G1" s="422"/>
      <c r="H1" s="151"/>
    </row>
    <row r="2" spans="1:9" x14ac:dyDescent="0.25">
      <c r="A2" s="434" t="s">
        <v>1</v>
      </c>
      <c r="B2" s="434"/>
      <c r="C2" s="434"/>
      <c r="D2" s="434"/>
      <c r="E2" s="434"/>
      <c r="F2" s="434"/>
      <c r="G2" s="434"/>
      <c r="H2" s="151"/>
    </row>
    <row r="3" spans="1:9" x14ac:dyDescent="0.25">
      <c r="A3" s="434" t="s">
        <v>2</v>
      </c>
      <c r="B3" s="434"/>
      <c r="C3" s="434"/>
      <c r="D3" s="434"/>
      <c r="E3" s="434"/>
      <c r="F3" s="434"/>
      <c r="G3" s="434"/>
      <c r="H3" s="151"/>
    </row>
    <row r="4" spans="1:9" ht="15.75" x14ac:dyDescent="0.25">
      <c r="F4" s="1" t="s">
        <v>3</v>
      </c>
      <c r="G4" s="2">
        <v>203644</v>
      </c>
      <c r="H4" s="158"/>
    </row>
    <row r="5" spans="1:9" ht="15.75" x14ac:dyDescent="0.25">
      <c r="A5" s="421"/>
      <c r="B5" s="421"/>
      <c r="C5" s="421"/>
      <c r="D5" s="421"/>
      <c r="E5" s="421"/>
      <c r="F5" s="421"/>
      <c r="G5" s="421"/>
      <c r="H5" s="157"/>
    </row>
    <row r="6" spans="1:9" x14ac:dyDescent="0.25">
      <c r="A6" s="3" t="s">
        <v>4</v>
      </c>
      <c r="B6" s="159"/>
      <c r="C6" s="153" t="s">
        <v>99</v>
      </c>
      <c r="D6" s="4"/>
      <c r="E6" s="156"/>
      <c r="F6" s="1" t="s">
        <v>6</v>
      </c>
      <c r="G6" s="5" t="s">
        <v>131</v>
      </c>
      <c r="H6" s="5"/>
    </row>
    <row r="7" spans="1:9" x14ac:dyDescent="0.25">
      <c r="G7" s="6"/>
      <c r="H7" s="6"/>
    </row>
    <row r="8" spans="1:9" x14ac:dyDescent="0.25">
      <c r="A8" s="438" t="s">
        <v>7</v>
      </c>
      <c r="B8" s="438"/>
      <c r="C8" s="438"/>
      <c r="D8" s="438"/>
      <c r="E8" s="438"/>
      <c r="F8" s="438"/>
      <c r="G8" s="438"/>
      <c r="H8" s="151"/>
    </row>
    <row r="9" spans="1:9" x14ac:dyDescent="0.25">
      <c r="A9" s="3"/>
      <c r="B9" s="151"/>
      <c r="C9" s="151"/>
      <c r="D9" s="151"/>
      <c r="E9" s="151"/>
      <c r="F9" s="151"/>
      <c r="G9" s="151"/>
      <c r="H9" s="151"/>
    </row>
    <row r="10" spans="1:9" ht="15.75" x14ac:dyDescent="0.25">
      <c r="A10" s="7" t="s">
        <v>130</v>
      </c>
      <c r="B10" s="152"/>
      <c r="C10" s="152"/>
      <c r="D10" s="152"/>
      <c r="E10" s="152"/>
      <c r="F10" s="8"/>
      <c r="G10" s="152"/>
      <c r="H10" s="152"/>
      <c r="I10" s="9"/>
    </row>
    <row r="11" spans="1:9" ht="15.75" x14ac:dyDescent="0.25">
      <c r="A11" s="7"/>
      <c r="B11" s="10"/>
      <c r="C11" s="3"/>
      <c r="D11" s="3"/>
      <c r="E11" s="151"/>
      <c r="F11" s="11"/>
      <c r="G11" s="151"/>
      <c r="H11" s="151"/>
    </row>
    <row r="12" spans="1:9" x14ac:dyDescent="0.25">
      <c r="A12" s="155" t="s">
        <v>8</v>
      </c>
      <c r="B12" s="437"/>
      <c r="C12" s="437"/>
      <c r="D12" s="437"/>
      <c r="E12" s="437"/>
      <c r="F12" s="13" t="s">
        <v>9</v>
      </c>
      <c r="G12" s="13" t="s">
        <v>10</v>
      </c>
      <c r="H12" s="156"/>
    </row>
    <row r="13" spans="1:9" ht="15.75" x14ac:dyDescent="0.25">
      <c r="A13" s="14"/>
      <c r="B13" s="15"/>
      <c r="C13" s="15"/>
      <c r="D13" s="15"/>
      <c r="E13" s="16"/>
      <c r="F13" s="17"/>
      <c r="G13" s="18"/>
      <c r="H13" s="19"/>
    </row>
    <row r="14" spans="1:9" ht="15.75" x14ac:dyDescent="0.25">
      <c r="A14" s="20"/>
      <c r="B14" s="19"/>
      <c r="C14" s="19"/>
      <c r="D14" s="21"/>
      <c r="E14" s="22"/>
      <c r="F14" s="23"/>
      <c r="G14" s="24"/>
      <c r="H14" s="19"/>
    </row>
    <row r="15" spans="1:9" ht="15.75" x14ac:dyDescent="0.25">
      <c r="A15" s="20"/>
      <c r="B15" s="19"/>
      <c r="C15" s="19" t="s">
        <v>116</v>
      </c>
      <c r="D15" s="21"/>
      <c r="E15" s="22"/>
      <c r="F15" s="23">
        <v>5225</v>
      </c>
      <c r="G15" s="24"/>
      <c r="H15" s="19"/>
    </row>
    <row r="16" spans="1:9" ht="15.75" x14ac:dyDescent="0.25">
      <c r="A16" s="20"/>
      <c r="B16" s="19"/>
      <c r="C16" s="19" t="s">
        <v>125</v>
      </c>
      <c r="D16" s="19"/>
      <c r="E16" s="19"/>
      <c r="F16" s="23">
        <f>11880-1310</f>
        <v>10570</v>
      </c>
      <c r="G16" s="26"/>
      <c r="H16" s="19"/>
    </row>
    <row r="17" spans="1:11" ht="15.75" x14ac:dyDescent="0.25">
      <c r="A17" s="20"/>
      <c r="B17" s="19"/>
      <c r="C17" s="19" t="s">
        <v>117</v>
      </c>
      <c r="D17" s="19"/>
      <c r="E17" s="19"/>
      <c r="F17" s="23">
        <v>1200</v>
      </c>
      <c r="G17" s="26"/>
      <c r="H17" s="19"/>
    </row>
    <row r="18" spans="1:11" ht="15.75" x14ac:dyDescent="0.25">
      <c r="A18" s="20"/>
      <c r="B18" s="19"/>
      <c r="C18" s="19" t="s">
        <v>126</v>
      </c>
      <c r="D18" s="19"/>
      <c r="E18" s="19"/>
      <c r="F18" s="23">
        <v>1200</v>
      </c>
      <c r="G18" s="26"/>
      <c r="H18" s="19"/>
    </row>
    <row r="19" spans="1:11" ht="15.75" x14ac:dyDescent="0.25">
      <c r="A19" s="20"/>
      <c r="B19" s="19"/>
      <c r="C19" s="19" t="s">
        <v>118</v>
      </c>
      <c r="D19" s="19"/>
      <c r="E19" s="19"/>
      <c r="F19" s="23">
        <v>2119.21</v>
      </c>
      <c r="G19" s="26"/>
      <c r="H19" s="19"/>
    </row>
    <row r="20" spans="1:11" ht="15.75" x14ac:dyDescent="0.25">
      <c r="A20" s="20"/>
      <c r="B20" s="19"/>
      <c r="C20" s="19" t="s">
        <v>127</v>
      </c>
      <c r="D20" s="19"/>
      <c r="E20" s="19"/>
      <c r="F20" s="23">
        <f>2369.19-250</f>
        <v>2119.19</v>
      </c>
      <c r="G20" s="26"/>
      <c r="H20" s="19"/>
    </row>
    <row r="21" spans="1:11" ht="15.75" x14ac:dyDescent="0.25">
      <c r="A21" s="20"/>
      <c r="B21" s="19"/>
      <c r="C21" s="19"/>
      <c r="D21" s="19" t="s">
        <v>36</v>
      </c>
      <c r="E21" s="19"/>
      <c r="F21" s="23"/>
      <c r="G21" s="27">
        <f>SUM(F15:F20)</f>
        <v>22433.399999999998</v>
      </c>
      <c r="H21" s="19"/>
    </row>
    <row r="22" spans="1:11" ht="15.75" x14ac:dyDescent="0.25">
      <c r="A22" s="28"/>
      <c r="B22" s="29"/>
      <c r="C22" s="29"/>
      <c r="D22" s="29"/>
      <c r="E22" s="29"/>
      <c r="F22" s="28"/>
      <c r="G22" s="30"/>
      <c r="H22" s="19"/>
    </row>
    <row r="23" spans="1:11" s="31" customFormat="1" x14ac:dyDescent="0.25">
      <c r="A23"/>
      <c r="B23"/>
      <c r="C23"/>
      <c r="D23"/>
      <c r="E23"/>
      <c r="F23"/>
      <c r="G23"/>
    </row>
    <row r="24" spans="1:11" x14ac:dyDescent="0.25">
      <c r="A24" s="130" t="s">
        <v>12</v>
      </c>
      <c r="D24" s="33" t="s">
        <v>13</v>
      </c>
      <c r="E24" s="32"/>
      <c r="F24" s="32" t="s">
        <v>14</v>
      </c>
      <c r="H24" s="154"/>
    </row>
    <row r="25" spans="1:11" x14ac:dyDescent="0.25">
      <c r="G25" s="34"/>
    </row>
    <row r="27" spans="1:11" x14ac:dyDescent="0.25">
      <c r="A27" s="423" t="s">
        <v>15</v>
      </c>
      <c r="B27" s="423"/>
      <c r="C27" s="423"/>
      <c r="D27" s="153" t="s">
        <v>5</v>
      </c>
      <c r="E27" s="35"/>
      <c r="F27" s="423" t="s">
        <v>16</v>
      </c>
      <c r="G27" s="423"/>
      <c r="H27" s="35"/>
    </row>
    <row r="28" spans="1:11" x14ac:dyDescent="0.25">
      <c r="A28" s="424" t="s">
        <v>17</v>
      </c>
      <c r="B28" s="434"/>
      <c r="C28" s="434"/>
      <c r="D28" s="152" t="s">
        <v>18</v>
      </c>
      <c r="E28" s="151"/>
      <c r="F28" s="434" t="s">
        <v>19</v>
      </c>
      <c r="G28" s="434"/>
      <c r="H28" s="151"/>
      <c r="K28" s="36"/>
    </row>
    <row r="29" spans="1:11" x14ac:dyDescent="0.25">
      <c r="A29" s="151"/>
      <c r="B29" s="151"/>
      <c r="C29" s="151"/>
      <c r="E29" s="151"/>
      <c r="H29" s="151"/>
    </row>
    <row r="30" spans="1:11" x14ac:dyDescent="0.25">
      <c r="H30" s="154"/>
    </row>
    <row r="31" spans="1:11" x14ac:dyDescent="0.25">
      <c r="A31" s="436" t="s">
        <v>20</v>
      </c>
      <c r="B31" s="436"/>
      <c r="C31" s="436"/>
      <c r="D31" s="436"/>
      <c r="E31" s="436"/>
      <c r="F31" s="436"/>
      <c r="G31" s="436"/>
    </row>
    <row r="33" spans="1:8" x14ac:dyDescent="0.25">
      <c r="A33" s="423" t="s">
        <v>21</v>
      </c>
      <c r="B33" s="423"/>
      <c r="C33" s="423"/>
      <c r="E33" s="31"/>
      <c r="F33" s="423" t="s">
        <v>22</v>
      </c>
      <c r="G33" s="423"/>
      <c r="H33" s="35"/>
    </row>
    <row r="34" spans="1:8" x14ac:dyDescent="0.25">
      <c r="A34" s="434" t="s">
        <v>23</v>
      </c>
      <c r="B34" s="434"/>
      <c r="C34" s="434"/>
      <c r="E34" s="31"/>
      <c r="F34" s="424" t="s">
        <v>24</v>
      </c>
      <c r="G34" s="434"/>
      <c r="H34" s="151"/>
    </row>
    <row r="35" spans="1:8" ht="15.75" thickBot="1" x14ac:dyDescent="0.3">
      <c r="A35" s="37"/>
      <c r="B35" s="37"/>
      <c r="C35" s="37"/>
      <c r="D35" s="37"/>
      <c r="E35" s="37"/>
      <c r="F35" s="37"/>
      <c r="G35" s="37"/>
    </row>
    <row r="36" spans="1:8" x14ac:dyDescent="0.25">
      <c r="A36" s="10" t="s">
        <v>128</v>
      </c>
      <c r="B36" s="3"/>
      <c r="C36" s="3"/>
      <c r="D36" s="3"/>
      <c r="E36" s="3"/>
      <c r="F36" s="10"/>
      <c r="G36" s="3"/>
      <c r="H36" s="3"/>
    </row>
    <row r="37" spans="1:8" ht="15.75" thickBot="1" x14ac:dyDescent="0.3">
      <c r="A37" s="38" t="s">
        <v>129</v>
      </c>
      <c r="D37" s="39"/>
    </row>
    <row r="38" spans="1:8" x14ac:dyDescent="0.25">
      <c r="A38" s="9" t="s">
        <v>123</v>
      </c>
    </row>
    <row r="39" spans="1:8" x14ac:dyDescent="0.25">
      <c r="A39" s="9"/>
    </row>
    <row r="40" spans="1:8" ht="15.75" thickBot="1" x14ac:dyDescent="0.3">
      <c r="F40" s="435"/>
      <c r="G40" s="435"/>
    </row>
    <row r="41" spans="1:8" x14ac:dyDescent="0.25">
      <c r="D41" t="s">
        <v>25</v>
      </c>
      <c r="F41" s="434" t="s">
        <v>26</v>
      </c>
      <c r="G41" s="434"/>
      <c r="H41" s="151"/>
    </row>
    <row r="42" spans="1:8" x14ac:dyDescent="0.25">
      <c r="G42" s="151"/>
    </row>
    <row r="43" spans="1:8" x14ac:dyDescent="0.25">
      <c r="G43" s="151"/>
    </row>
    <row r="44" spans="1:8" x14ac:dyDescent="0.25">
      <c r="F44" s="36"/>
      <c r="G44" s="151"/>
    </row>
  </sheetData>
  <mergeCells count="17">
    <mergeCell ref="A34:C34"/>
    <mergeCell ref="F34:G34"/>
    <mergeCell ref="F40:G40"/>
    <mergeCell ref="F41:G41"/>
    <mergeCell ref="A27:C27"/>
    <mergeCell ref="F27:G27"/>
    <mergeCell ref="A28:C28"/>
    <mergeCell ref="F28:G28"/>
    <mergeCell ref="A31:G31"/>
    <mergeCell ref="A33:C33"/>
    <mergeCell ref="F33:G33"/>
    <mergeCell ref="B12:E12"/>
    <mergeCell ref="A1:G1"/>
    <mergeCell ref="A2:G2"/>
    <mergeCell ref="A3:G3"/>
    <mergeCell ref="A5:G5"/>
    <mergeCell ref="A8:G8"/>
  </mergeCells>
  <pageMargins left="0.7" right="0.7" top="0.75" bottom="0.75" header="0.3" footer="0.3"/>
  <pageSetup paperSize="9" scale="81" fitToHeight="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3E9F-2838-49BA-9F45-DDFFF2F60195}">
  <sheetPr>
    <pageSetUpPr fitToPage="1"/>
  </sheetPr>
  <dimension ref="A1:K39"/>
  <sheetViews>
    <sheetView zoomScale="93" zoomScaleNormal="93" workbookViewId="0">
      <selection activeCell="G34" sqref="G34"/>
    </sheetView>
  </sheetViews>
  <sheetFormatPr defaultColWidth="9.140625" defaultRowHeight="15" x14ac:dyDescent="0.25"/>
  <cols>
    <col min="1" max="1" width="9.85546875" customWidth="1"/>
    <col min="2" max="2" width="6.28515625" customWidth="1"/>
    <col min="3" max="3" width="27.7109375" customWidth="1"/>
    <col min="4" max="4" width="27.42578125" customWidth="1"/>
    <col min="5" max="5" width="2.28515625" customWidth="1"/>
    <col min="6" max="6" width="17.140625" customWidth="1"/>
    <col min="7" max="7" width="16.7109375" customWidth="1"/>
    <col min="8" max="8" width="3.85546875" customWidth="1"/>
  </cols>
  <sheetData>
    <row r="1" spans="1:10" x14ac:dyDescent="0.25">
      <c r="A1" s="422" t="s">
        <v>0</v>
      </c>
      <c r="B1" s="422"/>
      <c r="C1" s="422"/>
      <c r="D1" s="422"/>
      <c r="E1" s="422"/>
      <c r="F1" s="422"/>
      <c r="G1" s="422"/>
      <c r="H1" s="151"/>
    </row>
    <row r="2" spans="1:10" x14ac:dyDescent="0.25">
      <c r="A2" s="434" t="s">
        <v>1</v>
      </c>
      <c r="B2" s="434"/>
      <c r="C2" s="434"/>
      <c r="D2" s="434"/>
      <c r="E2" s="434"/>
      <c r="F2" s="434"/>
      <c r="G2" s="434"/>
      <c r="H2" s="151"/>
    </row>
    <row r="3" spans="1:10" x14ac:dyDescent="0.25">
      <c r="A3" s="434" t="s">
        <v>2</v>
      </c>
      <c r="B3" s="434"/>
      <c r="C3" s="434"/>
      <c r="D3" s="434"/>
      <c r="E3" s="434"/>
      <c r="F3" s="434"/>
      <c r="G3" s="434"/>
      <c r="H3" s="151"/>
    </row>
    <row r="4" spans="1:10" ht="15.75" x14ac:dyDescent="0.25">
      <c r="F4" s="1" t="s">
        <v>3</v>
      </c>
      <c r="G4" s="2">
        <v>203648</v>
      </c>
      <c r="H4" s="158"/>
    </row>
    <row r="5" spans="1:10" ht="15.75" x14ac:dyDescent="0.25">
      <c r="A5" s="421"/>
      <c r="B5" s="421"/>
      <c r="C5" s="421"/>
      <c r="D5" s="421"/>
      <c r="E5" s="421"/>
      <c r="F5" s="421"/>
      <c r="G5" s="421"/>
      <c r="H5" s="157"/>
    </row>
    <row r="6" spans="1:10" x14ac:dyDescent="0.25">
      <c r="A6" s="3" t="s">
        <v>4</v>
      </c>
      <c r="B6" s="159"/>
      <c r="C6" s="57" t="s">
        <v>5</v>
      </c>
      <c r="D6" s="4"/>
      <c r="E6" s="156"/>
      <c r="F6" s="1" t="s">
        <v>6</v>
      </c>
      <c r="G6" s="5" t="s">
        <v>132</v>
      </c>
      <c r="H6" s="5"/>
    </row>
    <row r="7" spans="1:10" x14ac:dyDescent="0.25">
      <c r="G7" s="6"/>
      <c r="H7" s="6"/>
    </row>
    <row r="8" spans="1:10" x14ac:dyDescent="0.25">
      <c r="A8" s="438" t="s">
        <v>7</v>
      </c>
      <c r="B8" s="438"/>
      <c r="C8" s="438"/>
      <c r="D8" s="438"/>
      <c r="E8" s="438"/>
      <c r="F8" s="438"/>
      <c r="G8" s="438"/>
      <c r="H8" s="151"/>
    </row>
    <row r="9" spans="1:10" x14ac:dyDescent="0.25">
      <c r="A9" s="3"/>
      <c r="B9" s="151"/>
      <c r="C9" s="151"/>
      <c r="D9" s="151"/>
      <c r="E9" s="151"/>
      <c r="F9" s="151"/>
      <c r="G9" s="151"/>
      <c r="H9" s="151"/>
      <c r="J9" t="s">
        <v>38</v>
      </c>
    </row>
    <row r="10" spans="1:10" ht="15.75" x14ac:dyDescent="0.25">
      <c r="A10" s="7" t="s">
        <v>137</v>
      </c>
      <c r="B10" s="152"/>
      <c r="C10" s="152"/>
      <c r="D10" s="152"/>
      <c r="E10" s="152"/>
      <c r="F10" s="8"/>
      <c r="G10" s="152"/>
      <c r="H10" s="152"/>
      <c r="I10" s="9"/>
    </row>
    <row r="11" spans="1:10" x14ac:dyDescent="0.25">
      <c r="A11" s="12"/>
      <c r="B11" s="10"/>
      <c r="C11" s="3"/>
      <c r="D11" s="3"/>
      <c r="E11" s="151"/>
      <c r="F11" s="11"/>
      <c r="G11" s="151"/>
      <c r="H11" s="151"/>
    </row>
    <row r="12" spans="1:10" x14ac:dyDescent="0.25">
      <c r="A12" s="155" t="s">
        <v>8</v>
      </c>
      <c r="B12" s="437"/>
      <c r="C12" s="437"/>
      <c r="D12" s="437"/>
      <c r="E12" s="437"/>
      <c r="F12" s="13" t="s">
        <v>9</v>
      </c>
      <c r="G12" s="13" t="s">
        <v>10</v>
      </c>
      <c r="H12" s="156"/>
    </row>
    <row r="13" spans="1:10" ht="15.75" x14ac:dyDescent="0.25">
      <c r="A13" s="14"/>
      <c r="B13" s="15"/>
      <c r="C13" s="15"/>
      <c r="D13" s="15"/>
      <c r="E13" s="16"/>
      <c r="F13" s="17"/>
      <c r="G13" s="18"/>
      <c r="H13" s="19"/>
    </row>
    <row r="14" spans="1:10" ht="15.75" x14ac:dyDescent="0.25">
      <c r="A14" s="20"/>
      <c r="B14" s="19"/>
      <c r="C14" s="19" t="s">
        <v>133</v>
      </c>
      <c r="D14" s="21"/>
      <c r="E14" s="22"/>
      <c r="F14" s="25">
        <v>48656</v>
      </c>
      <c r="G14" s="24"/>
      <c r="H14" s="19"/>
    </row>
    <row r="15" spans="1:10" ht="15.75" x14ac:dyDescent="0.25">
      <c r="A15" s="20"/>
      <c r="B15" s="19"/>
      <c r="C15" s="19"/>
      <c r="D15" s="19"/>
      <c r="E15" s="19"/>
      <c r="F15" s="25"/>
      <c r="G15" s="26"/>
      <c r="H15" s="19"/>
    </row>
    <row r="16" spans="1:10" ht="15.75" x14ac:dyDescent="0.25">
      <c r="A16" s="20"/>
      <c r="B16" s="19"/>
      <c r="C16" s="19"/>
      <c r="D16" s="19" t="s">
        <v>11</v>
      </c>
      <c r="E16" s="19"/>
      <c r="F16" s="23"/>
      <c r="G16" s="27">
        <f>SUM(F14:F14)</f>
        <v>48656</v>
      </c>
      <c r="H16" s="19"/>
    </row>
    <row r="17" spans="1:11" ht="15.75" x14ac:dyDescent="0.25">
      <c r="A17" s="28"/>
      <c r="B17" s="29"/>
      <c r="C17" s="29"/>
      <c r="D17" s="29"/>
      <c r="E17" s="29"/>
      <c r="F17" s="28"/>
      <c r="G17" s="30"/>
      <c r="H17" s="19"/>
    </row>
    <row r="18" spans="1:11" s="31" customFormat="1" x14ac:dyDescent="0.25">
      <c r="A18"/>
      <c r="B18"/>
      <c r="C18"/>
      <c r="D18"/>
      <c r="E18"/>
      <c r="F18"/>
      <c r="G18"/>
    </row>
    <row r="19" spans="1:11" x14ac:dyDescent="0.25">
      <c r="A19" s="32" t="s">
        <v>12</v>
      </c>
      <c r="D19" s="33" t="s">
        <v>141</v>
      </c>
      <c r="E19" s="32"/>
      <c r="F19" s="32" t="s">
        <v>14</v>
      </c>
      <c r="H19" s="154"/>
    </row>
    <row r="20" spans="1:11" x14ac:dyDescent="0.25">
      <c r="G20" s="34"/>
    </row>
    <row r="22" spans="1:11" x14ac:dyDescent="0.25">
      <c r="A22" s="423" t="s">
        <v>15</v>
      </c>
      <c r="B22" s="423"/>
      <c r="C22" s="423"/>
      <c r="D22" s="153" t="s">
        <v>5</v>
      </c>
      <c r="E22" s="35"/>
      <c r="F22" s="423" t="s">
        <v>16</v>
      </c>
      <c r="G22" s="423"/>
      <c r="H22" s="35"/>
    </row>
    <row r="23" spans="1:11" x14ac:dyDescent="0.25">
      <c r="A23" s="424" t="s">
        <v>17</v>
      </c>
      <c r="B23" s="434"/>
      <c r="C23" s="434"/>
      <c r="D23" s="152" t="s">
        <v>18</v>
      </c>
      <c r="E23" s="151"/>
      <c r="F23" s="434" t="s">
        <v>19</v>
      </c>
      <c r="G23" s="434"/>
      <c r="H23" s="151"/>
      <c r="K23" s="36"/>
    </row>
    <row r="24" spans="1:11" x14ac:dyDescent="0.25">
      <c r="A24" s="151"/>
      <c r="B24" s="151"/>
      <c r="C24" s="151"/>
      <c r="E24" s="151"/>
      <c r="G24" t="s">
        <v>38</v>
      </c>
      <c r="H24" s="151"/>
    </row>
    <row r="25" spans="1:11" x14ac:dyDescent="0.25">
      <c r="H25" s="154"/>
    </row>
    <row r="26" spans="1:11" x14ac:dyDescent="0.25">
      <c r="A26" s="436" t="s">
        <v>20</v>
      </c>
      <c r="B26" s="436"/>
      <c r="C26" s="436"/>
      <c r="D26" s="436"/>
      <c r="E26" s="436"/>
      <c r="F26" s="436"/>
      <c r="G26" s="436"/>
    </row>
    <row r="28" spans="1:11" x14ac:dyDescent="0.25">
      <c r="A28" s="423" t="s">
        <v>21</v>
      </c>
      <c r="B28" s="423"/>
      <c r="C28" s="423"/>
      <c r="E28" s="31"/>
      <c r="F28" s="423" t="s">
        <v>22</v>
      </c>
      <c r="G28" s="423"/>
      <c r="H28" s="35"/>
    </row>
    <row r="29" spans="1:11" x14ac:dyDescent="0.25">
      <c r="A29" s="434" t="s">
        <v>23</v>
      </c>
      <c r="B29" s="434"/>
      <c r="C29" s="434"/>
      <c r="E29" s="31"/>
      <c r="F29" s="424" t="s">
        <v>24</v>
      </c>
      <c r="G29" s="434"/>
      <c r="H29" s="151"/>
    </row>
    <row r="30" spans="1:11" ht="15.75" thickBot="1" x14ac:dyDescent="0.3">
      <c r="A30" s="37"/>
      <c r="B30" s="37"/>
      <c r="C30" s="37"/>
      <c r="D30" s="37"/>
      <c r="E30" s="37"/>
      <c r="F30" s="37"/>
      <c r="G30" s="37"/>
    </row>
    <row r="31" spans="1:11" x14ac:dyDescent="0.25">
      <c r="A31" s="10" t="s">
        <v>134</v>
      </c>
      <c r="B31" s="3"/>
      <c r="C31" s="3"/>
      <c r="D31" s="3"/>
      <c r="E31" s="3"/>
      <c r="F31" s="10"/>
      <c r="G31" s="3"/>
      <c r="H31" s="3"/>
    </row>
    <row r="32" spans="1:11" ht="15.75" x14ac:dyDescent="0.25">
      <c r="A32" s="38" t="s">
        <v>135</v>
      </c>
      <c r="D32" s="59"/>
    </row>
    <row r="33" spans="1:8" x14ac:dyDescent="0.25">
      <c r="A33" s="9" t="s">
        <v>136</v>
      </c>
    </row>
    <row r="34" spans="1:8" x14ac:dyDescent="0.25">
      <c r="A34" s="9"/>
    </row>
    <row r="35" spans="1:8" ht="15.75" thickBot="1" x14ac:dyDescent="0.3">
      <c r="F35" s="435"/>
      <c r="G35" s="435"/>
    </row>
    <row r="36" spans="1:8" x14ac:dyDescent="0.25">
      <c r="D36" t="s">
        <v>25</v>
      </c>
      <c r="F36" s="434" t="s">
        <v>26</v>
      </c>
      <c r="G36" s="434"/>
      <c r="H36" s="151"/>
    </row>
    <row r="37" spans="1:8" x14ac:dyDescent="0.25">
      <c r="G37" s="151"/>
    </row>
    <row r="38" spans="1:8" x14ac:dyDescent="0.25">
      <c r="G38" s="151"/>
    </row>
    <row r="39" spans="1:8" x14ac:dyDescent="0.25">
      <c r="F39" s="36"/>
      <c r="G39" s="151"/>
    </row>
  </sheetData>
  <mergeCells count="17">
    <mergeCell ref="A29:C29"/>
    <mergeCell ref="F29:G29"/>
    <mergeCell ref="F35:G35"/>
    <mergeCell ref="F36:G36"/>
    <mergeCell ref="A22:C22"/>
    <mergeCell ref="F22:G22"/>
    <mergeCell ref="A23:C23"/>
    <mergeCell ref="F23:G23"/>
    <mergeCell ref="A26:G26"/>
    <mergeCell ref="A28:C28"/>
    <mergeCell ref="F28:G28"/>
    <mergeCell ref="B12:E12"/>
    <mergeCell ref="A1:G1"/>
    <mergeCell ref="A2:G2"/>
    <mergeCell ref="A3:G3"/>
    <mergeCell ref="A5:G5"/>
    <mergeCell ref="A8:G8"/>
  </mergeCells>
  <pageMargins left="0.7" right="0.7" top="0.75" bottom="0.75" header="0.3" footer="0.3"/>
  <pageSetup paperSize="9" scale="67" fitToHeight="0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5799-D8A5-4CDF-A34F-3375389D93EF}">
  <sheetPr>
    <pageSetUpPr fitToPage="1"/>
  </sheetPr>
  <dimension ref="A1:K40"/>
  <sheetViews>
    <sheetView workbookViewId="0">
      <selection sqref="A1:G34"/>
    </sheetView>
  </sheetViews>
  <sheetFormatPr defaultColWidth="9.140625" defaultRowHeight="15" x14ac:dyDescent="0.25"/>
  <cols>
    <col min="1" max="1" width="9.85546875" customWidth="1"/>
    <col min="2" max="2" width="6.28515625" customWidth="1"/>
    <col min="3" max="3" width="27.7109375" customWidth="1"/>
    <col min="4" max="4" width="27.42578125" customWidth="1"/>
    <col min="5" max="5" width="2.28515625" customWidth="1"/>
    <col min="6" max="6" width="17.140625" customWidth="1"/>
    <col min="7" max="7" width="16.7109375" customWidth="1"/>
    <col min="8" max="8" width="3.85546875" customWidth="1"/>
  </cols>
  <sheetData>
    <row r="1" spans="1:10" x14ac:dyDescent="0.25">
      <c r="A1" s="422" t="s">
        <v>0</v>
      </c>
      <c r="B1" s="422"/>
      <c r="C1" s="422"/>
      <c r="D1" s="422"/>
      <c r="E1" s="422"/>
      <c r="F1" s="422"/>
      <c r="G1" s="422"/>
      <c r="H1" s="164"/>
    </row>
    <row r="2" spans="1:10" x14ac:dyDescent="0.25">
      <c r="A2" s="434" t="s">
        <v>1</v>
      </c>
      <c r="B2" s="434"/>
      <c r="C2" s="434"/>
      <c r="D2" s="434"/>
      <c r="E2" s="434"/>
      <c r="F2" s="434"/>
      <c r="G2" s="434"/>
      <c r="H2" s="164"/>
    </row>
    <row r="3" spans="1:10" x14ac:dyDescent="0.25">
      <c r="A3" s="434" t="s">
        <v>2</v>
      </c>
      <c r="B3" s="434"/>
      <c r="C3" s="434"/>
      <c r="D3" s="434"/>
      <c r="E3" s="434"/>
      <c r="F3" s="434"/>
      <c r="G3" s="434"/>
      <c r="H3" s="164"/>
    </row>
    <row r="4" spans="1:10" ht="15.75" x14ac:dyDescent="0.25">
      <c r="F4" s="1" t="s">
        <v>3</v>
      </c>
      <c r="G4" s="2">
        <v>203649</v>
      </c>
      <c r="H4" s="172"/>
    </row>
    <row r="5" spans="1:10" ht="15.75" x14ac:dyDescent="0.25">
      <c r="A5" s="421"/>
      <c r="B5" s="421"/>
      <c r="C5" s="421"/>
      <c r="D5" s="421"/>
      <c r="E5" s="421"/>
      <c r="F5" s="421"/>
      <c r="G5" s="421"/>
      <c r="H5" s="170"/>
    </row>
    <row r="6" spans="1:10" x14ac:dyDescent="0.25">
      <c r="A6" s="3" t="s">
        <v>4</v>
      </c>
      <c r="B6" s="174"/>
      <c r="C6" s="57" t="s">
        <v>5</v>
      </c>
      <c r="D6" s="4"/>
      <c r="E6" s="169"/>
      <c r="F6" s="1" t="s">
        <v>6</v>
      </c>
      <c r="G6" s="5" t="s">
        <v>132</v>
      </c>
      <c r="H6" s="5"/>
    </row>
    <row r="7" spans="1:10" x14ac:dyDescent="0.25">
      <c r="G7" s="6"/>
      <c r="H7" s="6"/>
    </row>
    <row r="8" spans="1:10" x14ac:dyDescent="0.25">
      <c r="A8" s="438" t="s">
        <v>7</v>
      </c>
      <c r="B8" s="438"/>
      <c r="C8" s="438"/>
      <c r="D8" s="438"/>
      <c r="E8" s="438"/>
      <c r="F8" s="438"/>
      <c r="G8" s="438"/>
      <c r="H8" s="164"/>
    </row>
    <row r="9" spans="1:10" x14ac:dyDescent="0.25">
      <c r="A9" s="3"/>
      <c r="B9" s="164"/>
      <c r="C9" s="164"/>
      <c r="D9" s="164"/>
      <c r="E9" s="164"/>
      <c r="F9" s="164"/>
      <c r="G9" s="164"/>
      <c r="H9" s="164"/>
      <c r="J9" t="s">
        <v>38</v>
      </c>
    </row>
    <row r="10" spans="1:10" ht="15.75" x14ac:dyDescent="0.25">
      <c r="A10" s="7" t="s">
        <v>148</v>
      </c>
      <c r="B10" s="165"/>
      <c r="C10" s="165"/>
      <c r="D10" s="165"/>
      <c r="E10" s="165"/>
      <c r="F10" s="8"/>
      <c r="G10" s="165"/>
      <c r="H10" s="165"/>
      <c r="I10" s="9"/>
    </row>
    <row r="11" spans="1:10" ht="15.75" x14ac:dyDescent="0.25">
      <c r="A11" s="7" t="s">
        <v>149</v>
      </c>
      <c r="B11" s="165"/>
      <c r="C11" s="165"/>
      <c r="D11" s="165"/>
      <c r="E11" s="165"/>
      <c r="F11" s="8"/>
      <c r="G11" s="165"/>
      <c r="H11" s="165"/>
      <c r="I11" s="9"/>
    </row>
    <row r="12" spans="1:10" x14ac:dyDescent="0.25">
      <c r="A12" s="12"/>
      <c r="B12" s="10"/>
      <c r="C12" s="3"/>
      <c r="D12" s="3"/>
      <c r="E12" s="164"/>
      <c r="F12" s="11"/>
      <c r="G12" s="164"/>
      <c r="H12" s="164"/>
    </row>
    <row r="13" spans="1:10" x14ac:dyDescent="0.25">
      <c r="A13" s="168" t="s">
        <v>8</v>
      </c>
      <c r="B13" s="437"/>
      <c r="C13" s="437"/>
      <c r="D13" s="437"/>
      <c r="E13" s="437"/>
      <c r="F13" s="13" t="s">
        <v>9</v>
      </c>
      <c r="G13" s="13" t="s">
        <v>10</v>
      </c>
      <c r="H13" s="169"/>
    </row>
    <row r="14" spans="1:10" ht="15.75" x14ac:dyDescent="0.25">
      <c r="A14" s="14"/>
      <c r="B14" s="15"/>
      <c r="C14" s="15"/>
      <c r="D14" s="15"/>
      <c r="E14" s="16"/>
      <c r="F14" s="17"/>
      <c r="G14" s="18"/>
      <c r="H14" s="19"/>
    </row>
    <row r="15" spans="1:10" ht="15.75" x14ac:dyDescent="0.25">
      <c r="A15" s="20"/>
      <c r="B15" s="19"/>
      <c r="C15" s="19" t="s">
        <v>138</v>
      </c>
      <c r="D15" s="21"/>
      <c r="E15" s="22"/>
      <c r="F15" s="25">
        <v>55000</v>
      </c>
      <c r="G15" s="24"/>
      <c r="H15" s="19"/>
    </row>
    <row r="16" spans="1:10" ht="15.75" x14ac:dyDescent="0.25">
      <c r="A16" s="20"/>
      <c r="B16" s="19"/>
      <c r="C16" s="19"/>
      <c r="D16" s="19"/>
      <c r="E16" s="19"/>
      <c r="F16" s="25"/>
      <c r="G16" s="26"/>
      <c r="H16" s="19"/>
    </row>
    <row r="17" spans="1:11" ht="15.75" x14ac:dyDescent="0.25">
      <c r="A17" s="20"/>
      <c r="B17" s="19"/>
      <c r="C17" s="19"/>
      <c r="D17" s="19" t="s">
        <v>11</v>
      </c>
      <c r="E17" s="19"/>
      <c r="F17" s="23"/>
      <c r="G17" s="27">
        <f>SUM(F15:F15)</f>
        <v>55000</v>
      </c>
      <c r="H17" s="19"/>
    </row>
    <row r="18" spans="1:11" ht="15.75" x14ac:dyDescent="0.25">
      <c r="A18" s="28"/>
      <c r="B18" s="29"/>
      <c r="C18" s="29"/>
      <c r="D18" s="29"/>
      <c r="E18" s="29"/>
      <c r="F18" s="28"/>
      <c r="G18" s="30"/>
      <c r="H18" s="19"/>
    </row>
    <row r="19" spans="1:11" s="31" customFormat="1" x14ac:dyDescent="0.25">
      <c r="A19"/>
      <c r="B19"/>
      <c r="C19"/>
      <c r="D19"/>
      <c r="E19"/>
      <c r="F19"/>
      <c r="G19"/>
    </row>
    <row r="20" spans="1:11" x14ac:dyDescent="0.25">
      <c r="A20" s="32" t="s">
        <v>12</v>
      </c>
      <c r="D20" s="33" t="s">
        <v>13</v>
      </c>
      <c r="E20" s="32"/>
      <c r="F20" s="32" t="s">
        <v>14</v>
      </c>
      <c r="H20" s="167"/>
    </row>
    <row r="21" spans="1:11" x14ac:dyDescent="0.25">
      <c r="G21" s="34"/>
    </row>
    <row r="23" spans="1:11" x14ac:dyDescent="0.25">
      <c r="A23" s="423" t="s">
        <v>15</v>
      </c>
      <c r="B23" s="423"/>
      <c r="C23" s="423"/>
      <c r="D23" s="166" t="s">
        <v>5</v>
      </c>
      <c r="E23" s="35"/>
      <c r="F23" s="423" t="s">
        <v>16</v>
      </c>
      <c r="G23" s="423"/>
      <c r="H23" s="35"/>
    </row>
    <row r="24" spans="1:11" x14ac:dyDescent="0.25">
      <c r="A24" s="424" t="s">
        <v>17</v>
      </c>
      <c r="B24" s="434"/>
      <c r="C24" s="434"/>
      <c r="D24" s="165" t="s">
        <v>18</v>
      </c>
      <c r="E24" s="164"/>
      <c r="F24" s="434" t="s">
        <v>19</v>
      </c>
      <c r="G24" s="434"/>
      <c r="H24" s="164"/>
      <c r="K24" s="36"/>
    </row>
    <row r="25" spans="1:11" x14ac:dyDescent="0.25">
      <c r="A25" s="164"/>
      <c r="B25" s="164"/>
      <c r="C25" s="164"/>
      <c r="E25" s="164"/>
      <c r="G25" t="s">
        <v>38</v>
      </c>
      <c r="H25" s="164"/>
    </row>
    <row r="26" spans="1:11" x14ac:dyDescent="0.25">
      <c r="H26" s="167"/>
    </row>
    <row r="27" spans="1:11" x14ac:dyDescent="0.25">
      <c r="A27" s="436" t="s">
        <v>20</v>
      </c>
      <c r="B27" s="436"/>
      <c r="C27" s="436"/>
      <c r="D27" s="436"/>
      <c r="E27" s="436"/>
      <c r="F27" s="436"/>
      <c r="G27" s="436"/>
    </row>
    <row r="29" spans="1:11" x14ac:dyDescent="0.25">
      <c r="A29" s="423" t="s">
        <v>21</v>
      </c>
      <c r="B29" s="423"/>
      <c r="C29" s="423"/>
      <c r="E29" s="31"/>
      <c r="F29" s="423" t="s">
        <v>22</v>
      </c>
      <c r="G29" s="423"/>
      <c r="H29" s="35"/>
    </row>
    <row r="30" spans="1:11" x14ac:dyDescent="0.25">
      <c r="A30" s="434" t="s">
        <v>23</v>
      </c>
      <c r="B30" s="434"/>
      <c r="C30" s="434"/>
      <c r="E30" s="31"/>
      <c r="F30" s="424" t="s">
        <v>24</v>
      </c>
      <c r="G30" s="434"/>
      <c r="H30" s="164"/>
    </row>
    <row r="31" spans="1:11" ht="15.75" thickBot="1" x14ac:dyDescent="0.3">
      <c r="A31" s="37"/>
      <c r="B31" s="37"/>
      <c r="C31" s="37"/>
      <c r="D31" s="37"/>
      <c r="E31" s="37"/>
      <c r="F31" s="37"/>
      <c r="G31" s="37"/>
    </row>
    <row r="32" spans="1:11" x14ac:dyDescent="0.25">
      <c r="A32" s="10" t="s">
        <v>139</v>
      </c>
      <c r="B32" s="3"/>
      <c r="C32" s="3"/>
      <c r="D32" s="3"/>
      <c r="E32" s="3"/>
      <c r="F32" s="10"/>
      <c r="G32" s="3"/>
      <c r="H32" s="3"/>
    </row>
    <row r="33" spans="1:8" ht="15.75" x14ac:dyDescent="0.25">
      <c r="A33" s="38" t="s">
        <v>140</v>
      </c>
      <c r="D33" s="59"/>
    </row>
    <row r="34" spans="1:8" x14ac:dyDescent="0.25">
      <c r="A34" s="9" t="s">
        <v>136</v>
      </c>
    </row>
    <row r="35" spans="1:8" x14ac:dyDescent="0.25">
      <c r="A35" s="9"/>
    </row>
    <row r="36" spans="1:8" ht="15.75" thickBot="1" x14ac:dyDescent="0.3">
      <c r="F36" s="435"/>
      <c r="G36" s="435"/>
    </row>
    <row r="37" spans="1:8" x14ac:dyDescent="0.25">
      <c r="D37" t="s">
        <v>25</v>
      </c>
      <c r="F37" s="434" t="s">
        <v>26</v>
      </c>
      <c r="G37" s="434"/>
      <c r="H37" s="164"/>
    </row>
    <row r="38" spans="1:8" x14ac:dyDescent="0.25">
      <c r="G38" s="164"/>
    </row>
    <row r="39" spans="1:8" x14ac:dyDescent="0.25">
      <c r="G39" s="164"/>
    </row>
    <row r="40" spans="1:8" x14ac:dyDescent="0.25">
      <c r="F40" s="36"/>
      <c r="G40" s="164"/>
    </row>
  </sheetData>
  <mergeCells count="17">
    <mergeCell ref="A30:C30"/>
    <mergeCell ref="F30:G30"/>
    <mergeCell ref="F36:G36"/>
    <mergeCell ref="F37:G37"/>
    <mergeCell ref="A23:C23"/>
    <mergeCell ref="F23:G23"/>
    <mergeCell ref="A24:C24"/>
    <mergeCell ref="F24:G24"/>
    <mergeCell ref="A27:G27"/>
    <mergeCell ref="A29:C29"/>
    <mergeCell ref="F29:G29"/>
    <mergeCell ref="B13:E13"/>
    <mergeCell ref="A1:G1"/>
    <mergeCell ref="A2:G2"/>
    <mergeCell ref="A3:G3"/>
    <mergeCell ref="A5:G5"/>
    <mergeCell ref="A8:G8"/>
  </mergeCells>
  <pageMargins left="0.7" right="0.7" top="0.75" bottom="0.75" header="0.3" footer="0.3"/>
  <pageSetup paperSize="9" scale="67" fitToHeight="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A29AC-0677-4794-ACA0-4339A292EFF4}">
  <sheetPr>
    <pageSetUpPr fitToPage="1"/>
  </sheetPr>
  <dimension ref="A1:K40"/>
  <sheetViews>
    <sheetView workbookViewId="0">
      <selection sqref="A1:XFD1048576"/>
    </sheetView>
  </sheetViews>
  <sheetFormatPr defaultColWidth="9.140625" defaultRowHeight="15" x14ac:dyDescent="0.25"/>
  <cols>
    <col min="1" max="1" width="9.85546875" customWidth="1"/>
    <col min="2" max="2" width="6.28515625" customWidth="1"/>
    <col min="3" max="3" width="27.7109375" customWidth="1"/>
    <col min="4" max="4" width="27.42578125" customWidth="1"/>
    <col min="5" max="5" width="2.28515625" customWidth="1"/>
    <col min="6" max="6" width="17.140625" customWidth="1"/>
    <col min="7" max="7" width="16.7109375" customWidth="1"/>
    <col min="8" max="8" width="3.85546875" customWidth="1"/>
  </cols>
  <sheetData>
    <row r="1" spans="1:10" x14ac:dyDescent="0.25">
      <c r="A1" s="422" t="s">
        <v>0</v>
      </c>
      <c r="B1" s="422"/>
      <c r="C1" s="422"/>
      <c r="D1" s="422"/>
      <c r="E1" s="422"/>
      <c r="F1" s="422"/>
      <c r="G1" s="422"/>
      <c r="H1" s="164"/>
    </row>
    <row r="2" spans="1:10" x14ac:dyDescent="0.25">
      <c r="A2" s="434" t="s">
        <v>1</v>
      </c>
      <c r="B2" s="434"/>
      <c r="C2" s="434"/>
      <c r="D2" s="434"/>
      <c r="E2" s="434"/>
      <c r="F2" s="434"/>
      <c r="G2" s="434"/>
      <c r="H2" s="164"/>
    </row>
    <row r="3" spans="1:10" x14ac:dyDescent="0.25">
      <c r="A3" s="434" t="s">
        <v>2</v>
      </c>
      <c r="B3" s="434"/>
      <c r="C3" s="434"/>
      <c r="D3" s="434"/>
      <c r="E3" s="434"/>
      <c r="F3" s="434"/>
      <c r="G3" s="434"/>
      <c r="H3" s="164"/>
    </row>
    <row r="4" spans="1:10" ht="15.75" x14ac:dyDescent="0.25">
      <c r="F4" s="1" t="s">
        <v>3</v>
      </c>
      <c r="G4" s="2">
        <v>203650</v>
      </c>
      <c r="H4" s="172"/>
    </row>
    <row r="5" spans="1:10" ht="15.75" x14ac:dyDescent="0.25">
      <c r="A5" s="421"/>
      <c r="B5" s="421"/>
      <c r="C5" s="421"/>
      <c r="D5" s="421"/>
      <c r="E5" s="421"/>
      <c r="F5" s="421"/>
      <c r="G5" s="421"/>
      <c r="H5" s="170"/>
    </row>
    <row r="6" spans="1:10" x14ac:dyDescent="0.25">
      <c r="A6" s="3" t="s">
        <v>4</v>
      </c>
      <c r="B6" s="174"/>
      <c r="C6" s="57" t="s">
        <v>5</v>
      </c>
      <c r="D6" s="4"/>
      <c r="E6" s="169"/>
      <c r="F6" s="1" t="s">
        <v>6</v>
      </c>
      <c r="G6" s="5" t="s">
        <v>132</v>
      </c>
      <c r="H6" s="5"/>
    </row>
    <row r="7" spans="1:10" x14ac:dyDescent="0.25">
      <c r="G7" s="6"/>
      <c r="H7" s="6"/>
    </row>
    <row r="8" spans="1:10" x14ac:dyDescent="0.25">
      <c r="A8" s="438" t="s">
        <v>7</v>
      </c>
      <c r="B8" s="438"/>
      <c r="C8" s="438"/>
      <c r="D8" s="438"/>
      <c r="E8" s="438"/>
      <c r="F8" s="438"/>
      <c r="G8" s="438"/>
      <c r="H8" s="164"/>
    </row>
    <row r="9" spans="1:10" x14ac:dyDescent="0.25">
      <c r="A9" s="3"/>
      <c r="B9" s="164"/>
      <c r="C9" s="164"/>
      <c r="D9" s="164"/>
      <c r="E9" s="164"/>
      <c r="F9" s="164"/>
      <c r="G9" s="164"/>
      <c r="H9" s="164"/>
      <c r="J9" t="s">
        <v>38</v>
      </c>
    </row>
    <row r="10" spans="1:10" ht="15.75" x14ac:dyDescent="0.25">
      <c r="A10" s="7" t="s">
        <v>147</v>
      </c>
      <c r="B10" s="165"/>
      <c r="C10" s="165"/>
      <c r="D10" s="165"/>
      <c r="E10" s="165"/>
      <c r="F10" s="8"/>
      <c r="G10" s="165"/>
      <c r="H10" s="165"/>
      <c r="I10" s="9"/>
    </row>
    <row r="11" spans="1:10" ht="15.75" x14ac:dyDescent="0.25">
      <c r="A11" s="7" t="s">
        <v>143</v>
      </c>
      <c r="B11" s="10"/>
      <c r="C11" s="3"/>
      <c r="D11" s="3"/>
      <c r="E11" s="164"/>
      <c r="F11" s="11"/>
      <c r="G11" s="164"/>
      <c r="H11" s="164"/>
    </row>
    <row r="12" spans="1:10" x14ac:dyDescent="0.25">
      <c r="A12" s="12"/>
      <c r="B12" s="10"/>
      <c r="C12" s="3"/>
      <c r="D12" s="3"/>
      <c r="E12" s="164"/>
      <c r="F12" s="11"/>
      <c r="G12" s="164"/>
      <c r="H12" s="164"/>
    </row>
    <row r="13" spans="1:10" x14ac:dyDescent="0.25">
      <c r="A13" s="168" t="s">
        <v>8</v>
      </c>
      <c r="B13" s="437"/>
      <c r="C13" s="437"/>
      <c r="D13" s="437"/>
      <c r="E13" s="437"/>
      <c r="F13" s="13" t="s">
        <v>9</v>
      </c>
      <c r="G13" s="13" t="s">
        <v>10</v>
      </c>
      <c r="H13" s="169"/>
    </row>
    <row r="14" spans="1:10" ht="15.75" x14ac:dyDescent="0.25">
      <c r="A14" s="14"/>
      <c r="B14" s="15"/>
      <c r="C14" s="15"/>
      <c r="D14" s="15"/>
      <c r="E14" s="16"/>
      <c r="F14" s="17"/>
      <c r="G14" s="18"/>
      <c r="H14" s="19"/>
    </row>
    <row r="15" spans="1:10" ht="15.75" x14ac:dyDescent="0.25">
      <c r="A15" s="20"/>
      <c r="B15" s="19"/>
      <c r="C15" s="19" t="s">
        <v>146</v>
      </c>
      <c r="D15" s="21"/>
      <c r="E15" s="22"/>
      <c r="F15" s="25">
        <v>12000</v>
      </c>
      <c r="G15" s="24"/>
      <c r="H15" s="19"/>
    </row>
    <row r="16" spans="1:10" ht="15.75" x14ac:dyDescent="0.25">
      <c r="A16" s="20"/>
      <c r="B16" s="19"/>
      <c r="C16" s="19"/>
      <c r="D16" s="19"/>
      <c r="E16" s="19"/>
      <c r="F16" s="25"/>
      <c r="G16" s="26"/>
      <c r="H16" s="19"/>
    </row>
    <row r="17" spans="1:11" ht="15.75" x14ac:dyDescent="0.25">
      <c r="A17" s="20"/>
      <c r="B17" s="19"/>
      <c r="C17" s="19"/>
      <c r="D17" s="19" t="s">
        <v>11</v>
      </c>
      <c r="E17" s="19"/>
      <c r="F17" s="23"/>
      <c r="G17" s="27">
        <f>SUM(F15:F15)</f>
        <v>12000</v>
      </c>
      <c r="H17" s="19"/>
    </row>
    <row r="18" spans="1:11" ht="15.75" x14ac:dyDescent="0.25">
      <c r="A18" s="28"/>
      <c r="B18" s="29"/>
      <c r="C18" s="29"/>
      <c r="D18" s="29"/>
      <c r="E18" s="29"/>
      <c r="F18" s="28"/>
      <c r="G18" s="30"/>
      <c r="H18" s="19"/>
    </row>
    <row r="19" spans="1:11" s="31" customFormat="1" x14ac:dyDescent="0.25">
      <c r="A19"/>
      <c r="B19"/>
      <c r="C19"/>
      <c r="D19"/>
      <c r="E19"/>
      <c r="F19"/>
      <c r="G19"/>
    </row>
    <row r="20" spans="1:11" x14ac:dyDescent="0.25">
      <c r="A20" s="32" t="s">
        <v>12</v>
      </c>
      <c r="D20" s="33" t="s">
        <v>13</v>
      </c>
      <c r="E20" s="32"/>
      <c r="F20" s="32" t="s">
        <v>14</v>
      </c>
      <c r="H20" s="167"/>
    </row>
    <row r="21" spans="1:11" x14ac:dyDescent="0.25">
      <c r="G21" s="34"/>
    </row>
    <row r="23" spans="1:11" x14ac:dyDescent="0.25">
      <c r="A23" s="423" t="s">
        <v>15</v>
      </c>
      <c r="B23" s="423"/>
      <c r="C23" s="423"/>
      <c r="D23" s="166" t="s">
        <v>5</v>
      </c>
      <c r="E23" s="35"/>
      <c r="F23" s="423" t="s">
        <v>16</v>
      </c>
      <c r="G23" s="423"/>
      <c r="H23" s="35"/>
    </row>
    <row r="24" spans="1:11" x14ac:dyDescent="0.25">
      <c r="A24" s="424" t="s">
        <v>17</v>
      </c>
      <c r="B24" s="434"/>
      <c r="C24" s="434"/>
      <c r="D24" s="165" t="s">
        <v>18</v>
      </c>
      <c r="E24" s="164"/>
      <c r="F24" s="434" t="s">
        <v>19</v>
      </c>
      <c r="G24" s="434"/>
      <c r="H24" s="164"/>
      <c r="K24" s="36"/>
    </row>
    <row r="25" spans="1:11" x14ac:dyDescent="0.25">
      <c r="A25" s="164"/>
      <c r="B25" s="164"/>
      <c r="C25" s="164"/>
      <c r="E25" s="164"/>
      <c r="G25" t="s">
        <v>38</v>
      </c>
      <c r="H25" s="164"/>
    </row>
    <row r="26" spans="1:11" x14ac:dyDescent="0.25">
      <c r="H26" s="167"/>
    </row>
    <row r="27" spans="1:11" x14ac:dyDescent="0.25">
      <c r="A27" s="436" t="s">
        <v>20</v>
      </c>
      <c r="B27" s="436"/>
      <c r="C27" s="436"/>
      <c r="D27" s="436"/>
      <c r="E27" s="436"/>
      <c r="F27" s="436"/>
      <c r="G27" s="436"/>
    </row>
    <row r="29" spans="1:11" x14ac:dyDescent="0.25">
      <c r="A29" s="423" t="s">
        <v>21</v>
      </c>
      <c r="B29" s="423"/>
      <c r="C29" s="423"/>
      <c r="E29" s="31"/>
      <c r="F29" s="423" t="s">
        <v>22</v>
      </c>
      <c r="G29" s="423"/>
      <c r="H29" s="35"/>
    </row>
    <row r="30" spans="1:11" x14ac:dyDescent="0.25">
      <c r="A30" s="434" t="s">
        <v>23</v>
      </c>
      <c r="B30" s="434"/>
      <c r="C30" s="434"/>
      <c r="E30" s="31"/>
      <c r="F30" s="424" t="s">
        <v>24</v>
      </c>
      <c r="G30" s="434"/>
      <c r="H30" s="164"/>
    </row>
    <row r="31" spans="1:11" ht="15.75" thickBot="1" x14ac:dyDescent="0.3">
      <c r="A31" s="37"/>
      <c r="B31" s="37"/>
      <c r="C31" s="37"/>
      <c r="D31" s="37"/>
      <c r="E31" s="37"/>
      <c r="F31" s="37"/>
      <c r="G31" s="37"/>
    </row>
    <row r="32" spans="1:11" x14ac:dyDescent="0.25">
      <c r="A32" s="10" t="s">
        <v>144</v>
      </c>
      <c r="B32" s="3"/>
      <c r="C32" s="3"/>
      <c r="D32" s="3"/>
      <c r="E32" s="3"/>
      <c r="F32" s="10"/>
      <c r="G32" s="3"/>
      <c r="H32" s="3"/>
    </row>
    <row r="33" spans="1:8" ht="15.75" x14ac:dyDescent="0.25">
      <c r="A33" s="38" t="s">
        <v>145</v>
      </c>
      <c r="D33" s="59"/>
    </row>
    <row r="34" spans="1:8" x14ac:dyDescent="0.25">
      <c r="A34" s="9" t="s">
        <v>136</v>
      </c>
    </row>
    <row r="35" spans="1:8" x14ac:dyDescent="0.25">
      <c r="A35" s="9"/>
    </row>
    <row r="36" spans="1:8" ht="15.75" thickBot="1" x14ac:dyDescent="0.3">
      <c r="F36" s="435"/>
      <c r="G36" s="435"/>
    </row>
    <row r="37" spans="1:8" x14ac:dyDescent="0.25">
      <c r="D37" t="s">
        <v>25</v>
      </c>
      <c r="F37" s="434" t="s">
        <v>26</v>
      </c>
      <c r="G37" s="434"/>
      <c r="H37" s="164"/>
    </row>
    <row r="38" spans="1:8" x14ac:dyDescent="0.25">
      <c r="G38" s="164"/>
    </row>
    <row r="39" spans="1:8" x14ac:dyDescent="0.25">
      <c r="G39" s="164"/>
    </row>
    <row r="40" spans="1:8" x14ac:dyDescent="0.25">
      <c r="F40" s="36"/>
      <c r="G40" s="164"/>
    </row>
  </sheetData>
  <mergeCells count="17">
    <mergeCell ref="A30:C30"/>
    <mergeCell ref="F30:G30"/>
    <mergeCell ref="F36:G36"/>
    <mergeCell ref="F37:G37"/>
    <mergeCell ref="A23:C23"/>
    <mergeCell ref="F23:G23"/>
    <mergeCell ref="A24:C24"/>
    <mergeCell ref="F24:G24"/>
    <mergeCell ref="A27:G27"/>
    <mergeCell ref="A29:C29"/>
    <mergeCell ref="F29:G29"/>
    <mergeCell ref="B13:E13"/>
    <mergeCell ref="A1:G1"/>
    <mergeCell ref="A2:G2"/>
    <mergeCell ref="A3:G3"/>
    <mergeCell ref="A5:G5"/>
    <mergeCell ref="A8:G8"/>
  </mergeCells>
  <pageMargins left="0.7" right="0.7" top="0.75" bottom="0.75" header="0.3" footer="0.3"/>
  <pageSetup paperSize="9" scale="67" fitToHeight="0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A3602-481F-42EC-AEE1-A4679799BE77}">
  <sheetPr>
    <pageSetUpPr fitToPage="1"/>
  </sheetPr>
  <dimension ref="A1:K40"/>
  <sheetViews>
    <sheetView workbookViewId="0">
      <selection sqref="A1:XFD1048576"/>
    </sheetView>
  </sheetViews>
  <sheetFormatPr defaultColWidth="9.140625" defaultRowHeight="15" x14ac:dyDescent="0.25"/>
  <cols>
    <col min="1" max="1" width="9.85546875" customWidth="1"/>
    <col min="2" max="2" width="6.28515625" customWidth="1"/>
    <col min="3" max="3" width="27.7109375" customWidth="1"/>
    <col min="4" max="4" width="27.42578125" customWidth="1"/>
    <col min="5" max="5" width="2.28515625" customWidth="1"/>
    <col min="6" max="6" width="17.140625" customWidth="1"/>
    <col min="7" max="7" width="16.7109375" customWidth="1"/>
    <col min="8" max="8" width="3.85546875" customWidth="1"/>
  </cols>
  <sheetData>
    <row r="1" spans="1:10" x14ac:dyDescent="0.25">
      <c r="A1" s="422" t="s">
        <v>0</v>
      </c>
      <c r="B1" s="422"/>
      <c r="C1" s="422"/>
      <c r="D1" s="422"/>
      <c r="E1" s="422"/>
      <c r="F1" s="422"/>
      <c r="G1" s="422"/>
      <c r="H1" s="164"/>
    </row>
    <row r="2" spans="1:10" x14ac:dyDescent="0.25">
      <c r="A2" s="434" t="s">
        <v>1</v>
      </c>
      <c r="B2" s="434"/>
      <c r="C2" s="434"/>
      <c r="D2" s="434"/>
      <c r="E2" s="434"/>
      <c r="F2" s="434"/>
      <c r="G2" s="434"/>
      <c r="H2" s="164"/>
    </row>
    <row r="3" spans="1:10" x14ac:dyDescent="0.25">
      <c r="A3" s="434" t="s">
        <v>2</v>
      </c>
      <c r="B3" s="434"/>
      <c r="C3" s="434"/>
      <c r="D3" s="434"/>
      <c r="E3" s="434"/>
      <c r="F3" s="434"/>
      <c r="G3" s="434"/>
      <c r="H3" s="164"/>
    </row>
    <row r="4" spans="1:10" ht="15.75" x14ac:dyDescent="0.25">
      <c r="F4" s="1" t="s">
        <v>3</v>
      </c>
      <c r="G4" s="2">
        <v>203651</v>
      </c>
      <c r="H4" s="172"/>
    </row>
    <row r="5" spans="1:10" ht="15.75" x14ac:dyDescent="0.25">
      <c r="A5" s="421"/>
      <c r="B5" s="421"/>
      <c r="C5" s="421"/>
      <c r="D5" s="421"/>
      <c r="E5" s="421"/>
      <c r="F5" s="421"/>
      <c r="G5" s="421"/>
      <c r="H5" s="170"/>
    </row>
    <row r="6" spans="1:10" x14ac:dyDescent="0.25">
      <c r="A6" s="3" t="s">
        <v>4</v>
      </c>
      <c r="B6" s="174"/>
      <c r="C6" s="57" t="s">
        <v>5</v>
      </c>
      <c r="D6" s="4"/>
      <c r="E6" s="169"/>
      <c r="F6" s="1" t="s">
        <v>6</v>
      </c>
      <c r="G6" s="5" t="s">
        <v>132</v>
      </c>
      <c r="H6" s="5"/>
    </row>
    <row r="7" spans="1:10" x14ac:dyDescent="0.25">
      <c r="G7" s="6"/>
      <c r="H7" s="6"/>
    </row>
    <row r="8" spans="1:10" x14ac:dyDescent="0.25">
      <c r="A8" s="438" t="s">
        <v>7</v>
      </c>
      <c r="B8" s="438"/>
      <c r="C8" s="438"/>
      <c r="D8" s="438"/>
      <c r="E8" s="438"/>
      <c r="F8" s="438"/>
      <c r="G8" s="438"/>
      <c r="H8" s="164"/>
    </row>
    <row r="9" spans="1:10" x14ac:dyDescent="0.25">
      <c r="A9" s="3"/>
      <c r="B9" s="164"/>
      <c r="C9" s="164"/>
      <c r="D9" s="164"/>
      <c r="E9" s="164"/>
      <c r="F9" s="164"/>
      <c r="G9" s="164"/>
      <c r="H9" s="164"/>
      <c r="J9" t="s">
        <v>38</v>
      </c>
    </row>
    <row r="10" spans="1:10" ht="15.75" x14ac:dyDescent="0.25">
      <c r="A10" s="7" t="s">
        <v>154</v>
      </c>
      <c r="B10" s="165"/>
      <c r="C10" s="165"/>
      <c r="D10" s="165"/>
      <c r="E10" s="165"/>
      <c r="F10" s="8"/>
      <c r="G10" s="165"/>
      <c r="H10" s="165"/>
      <c r="I10" s="9"/>
    </row>
    <row r="11" spans="1:10" ht="15.75" x14ac:dyDescent="0.25">
      <c r="A11" s="7"/>
      <c r="B11" s="10"/>
      <c r="C11" s="3"/>
      <c r="D11" s="3"/>
      <c r="E11" s="164"/>
      <c r="F11" s="11"/>
      <c r="G11" s="164"/>
      <c r="H11" s="164"/>
    </row>
    <row r="12" spans="1:10" x14ac:dyDescent="0.25">
      <c r="A12" s="168" t="s">
        <v>8</v>
      </c>
      <c r="B12" s="437"/>
      <c r="C12" s="437"/>
      <c r="D12" s="437"/>
      <c r="E12" s="437"/>
      <c r="F12" s="13" t="s">
        <v>9</v>
      </c>
      <c r="G12" s="13" t="s">
        <v>10</v>
      </c>
      <c r="H12" s="169"/>
    </row>
    <row r="13" spans="1:10" ht="15.75" x14ac:dyDescent="0.25">
      <c r="A13" s="14"/>
      <c r="B13" s="15"/>
      <c r="C13" s="15"/>
      <c r="D13" s="15"/>
      <c r="E13" s="16"/>
      <c r="F13" s="17"/>
      <c r="G13" s="18"/>
      <c r="H13" s="19"/>
    </row>
    <row r="14" spans="1:10" ht="15.75" x14ac:dyDescent="0.25">
      <c r="A14" s="20"/>
      <c r="B14" s="19"/>
      <c r="C14" s="19" t="s">
        <v>150</v>
      </c>
      <c r="D14" s="21"/>
      <c r="E14" s="22"/>
      <c r="F14" s="25">
        <v>38500</v>
      </c>
      <c r="G14" s="24"/>
      <c r="H14" s="19"/>
    </row>
    <row r="15" spans="1:10" ht="15.75" x14ac:dyDescent="0.25">
      <c r="A15" s="20"/>
      <c r="B15" s="19"/>
      <c r="C15" s="19" t="s">
        <v>151</v>
      </c>
      <c r="D15" s="21"/>
      <c r="E15" s="22"/>
      <c r="F15" s="25">
        <v>2000</v>
      </c>
      <c r="G15" s="24"/>
      <c r="H15" s="19"/>
    </row>
    <row r="16" spans="1:10" ht="15.75" x14ac:dyDescent="0.25">
      <c r="A16" s="20"/>
      <c r="B16" s="19"/>
      <c r="C16" s="19"/>
      <c r="D16" s="19"/>
      <c r="E16" s="19"/>
      <c r="F16" s="25"/>
      <c r="G16" s="26"/>
      <c r="H16" s="19"/>
    </row>
    <row r="17" spans="1:11" ht="15.75" x14ac:dyDescent="0.25">
      <c r="A17" s="20"/>
      <c r="B17" s="19"/>
      <c r="C17" s="19"/>
      <c r="D17" s="19" t="s">
        <v>11</v>
      </c>
      <c r="E17" s="19"/>
      <c r="F17" s="23"/>
      <c r="G17" s="27">
        <f>SUM(F14:F15)</f>
        <v>40500</v>
      </c>
      <c r="H17" s="19"/>
    </row>
    <row r="18" spans="1:11" ht="15.75" x14ac:dyDescent="0.25">
      <c r="A18" s="28"/>
      <c r="B18" s="29"/>
      <c r="C18" s="29"/>
      <c r="D18" s="29"/>
      <c r="E18" s="29"/>
      <c r="F18" s="28"/>
      <c r="G18" s="30"/>
      <c r="H18" s="19"/>
    </row>
    <row r="19" spans="1:11" s="31" customFormat="1" x14ac:dyDescent="0.25">
      <c r="A19"/>
      <c r="B19"/>
      <c r="C19"/>
      <c r="D19"/>
      <c r="E19"/>
      <c r="F19"/>
      <c r="G19"/>
    </row>
    <row r="20" spans="1:11" x14ac:dyDescent="0.25">
      <c r="A20" s="32" t="s">
        <v>12</v>
      </c>
      <c r="D20" s="33" t="s">
        <v>13</v>
      </c>
      <c r="E20" s="32"/>
      <c r="F20" s="32" t="s">
        <v>14</v>
      </c>
      <c r="H20" s="167"/>
    </row>
    <row r="21" spans="1:11" x14ac:dyDescent="0.25">
      <c r="G21" s="34"/>
    </row>
    <row r="23" spans="1:11" x14ac:dyDescent="0.25">
      <c r="A23" s="423" t="s">
        <v>15</v>
      </c>
      <c r="B23" s="423"/>
      <c r="C23" s="423"/>
      <c r="D23" s="166" t="s">
        <v>5</v>
      </c>
      <c r="E23" s="35"/>
      <c r="F23" s="423" t="s">
        <v>16</v>
      </c>
      <c r="G23" s="423"/>
      <c r="H23" s="35"/>
    </row>
    <row r="24" spans="1:11" x14ac:dyDescent="0.25">
      <c r="A24" s="424" t="s">
        <v>17</v>
      </c>
      <c r="B24" s="434"/>
      <c r="C24" s="434"/>
      <c r="D24" s="165" t="s">
        <v>18</v>
      </c>
      <c r="E24" s="164"/>
      <c r="F24" s="434" t="s">
        <v>19</v>
      </c>
      <c r="G24" s="434"/>
      <c r="H24" s="164"/>
      <c r="K24" s="36"/>
    </row>
    <row r="25" spans="1:11" x14ac:dyDescent="0.25">
      <c r="A25" s="164"/>
      <c r="B25" s="164"/>
      <c r="C25" s="164"/>
      <c r="E25" s="164"/>
      <c r="G25" t="s">
        <v>38</v>
      </c>
      <c r="H25" s="164"/>
    </row>
    <row r="26" spans="1:11" x14ac:dyDescent="0.25">
      <c r="H26" s="167"/>
    </row>
    <row r="27" spans="1:11" x14ac:dyDescent="0.25">
      <c r="A27" s="436" t="s">
        <v>20</v>
      </c>
      <c r="B27" s="436"/>
      <c r="C27" s="436"/>
      <c r="D27" s="436"/>
      <c r="E27" s="436"/>
      <c r="F27" s="436"/>
      <c r="G27" s="436"/>
    </row>
    <row r="29" spans="1:11" x14ac:dyDescent="0.25">
      <c r="A29" s="423" t="s">
        <v>21</v>
      </c>
      <c r="B29" s="423"/>
      <c r="C29" s="423"/>
      <c r="E29" s="31"/>
      <c r="F29" s="423" t="s">
        <v>22</v>
      </c>
      <c r="G29" s="423"/>
      <c r="H29" s="35"/>
    </row>
    <row r="30" spans="1:11" x14ac:dyDescent="0.25">
      <c r="A30" s="434" t="s">
        <v>23</v>
      </c>
      <c r="B30" s="434"/>
      <c r="C30" s="434"/>
      <c r="E30" s="31"/>
      <c r="F30" s="424" t="s">
        <v>24</v>
      </c>
      <c r="G30" s="434"/>
      <c r="H30" s="164"/>
    </row>
    <row r="31" spans="1:11" ht="15.75" thickBot="1" x14ac:dyDescent="0.3">
      <c r="A31" s="37"/>
      <c r="B31" s="37"/>
      <c r="C31" s="37"/>
      <c r="D31" s="37"/>
      <c r="E31" s="37"/>
      <c r="F31" s="37"/>
      <c r="G31" s="37"/>
    </row>
    <row r="32" spans="1:11" x14ac:dyDescent="0.25">
      <c r="A32" s="10" t="s">
        <v>152</v>
      </c>
      <c r="B32" s="3"/>
      <c r="C32" s="3"/>
      <c r="D32" s="3"/>
      <c r="E32" s="3"/>
      <c r="F32" s="10"/>
      <c r="G32" s="3"/>
      <c r="H32" s="3"/>
    </row>
    <row r="33" spans="1:8" ht="15.75" x14ac:dyDescent="0.25">
      <c r="A33" s="38" t="s">
        <v>153</v>
      </c>
      <c r="D33" s="59"/>
    </row>
    <row r="34" spans="1:8" x14ac:dyDescent="0.25">
      <c r="A34" s="9" t="s">
        <v>136</v>
      </c>
    </row>
    <row r="35" spans="1:8" x14ac:dyDescent="0.25">
      <c r="A35" s="9"/>
    </row>
    <row r="36" spans="1:8" ht="15.75" thickBot="1" x14ac:dyDescent="0.3">
      <c r="F36" s="435"/>
      <c r="G36" s="435"/>
    </row>
    <row r="37" spans="1:8" x14ac:dyDescent="0.25">
      <c r="D37" t="s">
        <v>25</v>
      </c>
      <c r="F37" s="434" t="s">
        <v>26</v>
      </c>
      <c r="G37" s="434"/>
      <c r="H37" s="164"/>
    </row>
    <row r="38" spans="1:8" x14ac:dyDescent="0.25">
      <c r="G38" s="164"/>
    </row>
    <row r="39" spans="1:8" x14ac:dyDescent="0.25">
      <c r="G39" s="164"/>
    </row>
    <row r="40" spans="1:8" x14ac:dyDescent="0.25">
      <c r="F40" s="36"/>
      <c r="G40" s="164"/>
    </row>
  </sheetData>
  <mergeCells count="17">
    <mergeCell ref="A30:C30"/>
    <mergeCell ref="F30:G30"/>
    <mergeCell ref="F36:G36"/>
    <mergeCell ref="F37:G37"/>
    <mergeCell ref="A23:C23"/>
    <mergeCell ref="F23:G23"/>
    <mergeCell ref="A24:C24"/>
    <mergeCell ref="F24:G24"/>
    <mergeCell ref="A27:G27"/>
    <mergeCell ref="A29:C29"/>
    <mergeCell ref="F29:G29"/>
    <mergeCell ref="B12:E12"/>
    <mergeCell ref="A1:G1"/>
    <mergeCell ref="A2:G2"/>
    <mergeCell ref="A3:G3"/>
    <mergeCell ref="A5:G5"/>
    <mergeCell ref="A8:G8"/>
  </mergeCells>
  <pageMargins left="0.7" right="0.7" top="0.75" bottom="0.75" header="0.3" footer="0.3"/>
  <pageSetup paperSize="9" scale="67" fitToHeight="0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F405C-C14F-489C-8CB3-6F7B375E1872}">
  <sheetPr>
    <pageSetUpPr fitToPage="1"/>
  </sheetPr>
  <dimension ref="A1:K42"/>
  <sheetViews>
    <sheetView workbookViewId="0">
      <selection activeCell="H25" sqref="H25"/>
    </sheetView>
  </sheetViews>
  <sheetFormatPr defaultColWidth="9.140625" defaultRowHeight="15" x14ac:dyDescent="0.25"/>
  <cols>
    <col min="1" max="1" width="9.85546875" customWidth="1"/>
    <col min="2" max="2" width="6.28515625" customWidth="1"/>
    <col min="3" max="3" width="27.7109375" customWidth="1"/>
    <col min="4" max="4" width="27.42578125" customWidth="1"/>
    <col min="5" max="5" width="2.28515625" customWidth="1"/>
    <col min="6" max="6" width="17.140625" customWidth="1"/>
    <col min="7" max="7" width="16.7109375" customWidth="1"/>
    <col min="8" max="8" width="3.85546875" customWidth="1"/>
  </cols>
  <sheetData>
    <row r="1" spans="1:10" x14ac:dyDescent="0.25">
      <c r="A1" s="422" t="s">
        <v>0</v>
      </c>
      <c r="B1" s="422"/>
      <c r="C1" s="422"/>
      <c r="D1" s="422"/>
      <c r="E1" s="422"/>
      <c r="F1" s="422"/>
      <c r="G1" s="422"/>
      <c r="H1" s="164"/>
    </row>
    <row r="2" spans="1:10" x14ac:dyDescent="0.25">
      <c r="A2" s="434" t="s">
        <v>1</v>
      </c>
      <c r="B2" s="434"/>
      <c r="C2" s="434"/>
      <c r="D2" s="434"/>
      <c r="E2" s="434"/>
      <c r="F2" s="434"/>
      <c r="G2" s="434"/>
      <c r="H2" s="164"/>
    </row>
    <row r="3" spans="1:10" x14ac:dyDescent="0.25">
      <c r="A3" s="434" t="s">
        <v>2</v>
      </c>
      <c r="B3" s="434"/>
      <c r="C3" s="434"/>
      <c r="D3" s="434"/>
      <c r="E3" s="434"/>
      <c r="F3" s="434"/>
      <c r="G3" s="434"/>
      <c r="H3" s="164"/>
    </row>
    <row r="4" spans="1:10" ht="15.75" x14ac:dyDescent="0.25">
      <c r="F4" s="1" t="s">
        <v>3</v>
      </c>
      <c r="G4" s="2">
        <v>203652</v>
      </c>
      <c r="H4" s="172"/>
    </row>
    <row r="5" spans="1:10" ht="15.75" x14ac:dyDescent="0.25">
      <c r="A5" s="421"/>
      <c r="B5" s="421"/>
      <c r="C5" s="421"/>
      <c r="D5" s="421"/>
      <c r="E5" s="421"/>
      <c r="F5" s="421"/>
      <c r="G5" s="421"/>
      <c r="H5" s="170"/>
    </row>
    <row r="6" spans="1:10" x14ac:dyDescent="0.25">
      <c r="A6" s="3" t="s">
        <v>4</v>
      </c>
      <c r="B6" s="174"/>
      <c r="C6" s="57" t="s">
        <v>5</v>
      </c>
      <c r="D6" s="4"/>
      <c r="E6" s="169"/>
      <c r="F6" s="1" t="s">
        <v>6</v>
      </c>
      <c r="G6" s="5" t="s">
        <v>132</v>
      </c>
      <c r="H6" s="5"/>
    </row>
    <row r="7" spans="1:10" x14ac:dyDescent="0.25">
      <c r="G7" s="6"/>
      <c r="H7" s="6"/>
    </row>
    <row r="8" spans="1:10" x14ac:dyDescent="0.25">
      <c r="A8" s="438" t="s">
        <v>7</v>
      </c>
      <c r="B8" s="438"/>
      <c r="C8" s="438"/>
      <c r="D8" s="438"/>
      <c r="E8" s="438"/>
      <c r="F8" s="438"/>
      <c r="G8" s="438"/>
      <c r="H8" s="164"/>
    </row>
    <row r="9" spans="1:10" x14ac:dyDescent="0.25">
      <c r="A9" s="3"/>
      <c r="B9" s="164"/>
      <c r="C9" s="164"/>
      <c r="D9" s="164"/>
      <c r="E9" s="164"/>
      <c r="F9" s="164"/>
      <c r="G9" s="164"/>
      <c r="H9" s="164"/>
      <c r="J9" t="s">
        <v>38</v>
      </c>
    </row>
    <row r="10" spans="1:10" ht="15.75" x14ac:dyDescent="0.25">
      <c r="A10" s="7" t="s">
        <v>171</v>
      </c>
      <c r="B10" s="165"/>
      <c r="C10" s="165"/>
      <c r="D10" s="165"/>
      <c r="E10" s="165"/>
      <c r="F10" s="8"/>
      <c r="G10" s="165"/>
      <c r="H10" s="165"/>
      <c r="I10" s="9"/>
    </row>
    <row r="11" spans="1:10" ht="15.75" x14ac:dyDescent="0.25">
      <c r="A11" s="7" t="s">
        <v>170</v>
      </c>
      <c r="B11" s="10"/>
      <c r="C11" s="3"/>
      <c r="D11" s="3"/>
      <c r="E11" s="164"/>
      <c r="F11" s="11"/>
      <c r="G11" s="164"/>
      <c r="H11" s="164"/>
    </row>
    <row r="12" spans="1:10" ht="15.75" x14ac:dyDescent="0.25">
      <c r="A12" s="7"/>
      <c r="B12" s="10"/>
      <c r="C12" s="3"/>
      <c r="D12" s="3"/>
      <c r="E12" s="164"/>
      <c r="F12" s="11"/>
      <c r="G12" s="164"/>
      <c r="H12" s="164"/>
    </row>
    <row r="13" spans="1:10" x14ac:dyDescent="0.25">
      <c r="A13" s="168" t="s">
        <v>8</v>
      </c>
      <c r="B13" s="437"/>
      <c r="C13" s="437"/>
      <c r="D13" s="437"/>
      <c r="E13" s="437"/>
      <c r="F13" s="13" t="s">
        <v>9</v>
      </c>
      <c r="G13" s="13" t="s">
        <v>10</v>
      </c>
      <c r="H13" s="169"/>
    </row>
    <row r="14" spans="1:10" ht="15.75" x14ac:dyDescent="0.25">
      <c r="A14" s="14"/>
      <c r="B14" s="15"/>
      <c r="C14" s="15"/>
      <c r="D14" s="15"/>
      <c r="E14" s="16"/>
      <c r="F14" s="17"/>
      <c r="G14" s="18"/>
      <c r="H14" s="19"/>
    </row>
    <row r="15" spans="1:10" ht="15.75" x14ac:dyDescent="0.25">
      <c r="A15" s="20"/>
      <c r="B15" s="19"/>
      <c r="C15" s="19" t="s">
        <v>37</v>
      </c>
      <c r="D15" s="21"/>
      <c r="E15" s="22"/>
      <c r="F15" s="25">
        <v>1500</v>
      </c>
      <c r="G15" s="24"/>
      <c r="H15" s="19"/>
    </row>
    <row r="16" spans="1:10" ht="15.75" x14ac:dyDescent="0.25">
      <c r="A16" s="20"/>
      <c r="B16" s="19"/>
      <c r="C16" s="19" t="s">
        <v>155</v>
      </c>
      <c r="D16" s="21"/>
      <c r="E16" s="22"/>
      <c r="F16" s="25">
        <v>170</v>
      </c>
      <c r="G16" s="24"/>
      <c r="H16" s="19"/>
    </row>
    <row r="17" spans="1:11" ht="15.75" x14ac:dyDescent="0.25">
      <c r="A17" s="20"/>
      <c r="B17" s="19"/>
      <c r="C17" s="19" t="s">
        <v>103</v>
      </c>
      <c r="D17" s="21"/>
      <c r="E17" s="22"/>
      <c r="F17" s="25">
        <v>2465.29</v>
      </c>
      <c r="G17" s="24"/>
      <c r="H17" s="19"/>
    </row>
    <row r="18" spans="1:11" ht="15.75" x14ac:dyDescent="0.25">
      <c r="A18" s="20"/>
      <c r="B18" s="19"/>
      <c r="C18" s="19"/>
      <c r="D18" s="19"/>
      <c r="E18" s="19"/>
      <c r="F18" s="25"/>
      <c r="G18" s="26"/>
      <c r="H18" s="19"/>
    </row>
    <row r="19" spans="1:11" ht="15.75" x14ac:dyDescent="0.25">
      <c r="A19" s="20"/>
      <c r="B19" s="19"/>
      <c r="C19" s="19"/>
      <c r="D19" s="19" t="s">
        <v>36</v>
      </c>
      <c r="E19" s="19"/>
      <c r="F19" s="23"/>
      <c r="G19" s="27">
        <f>SUM(F15:F17)</f>
        <v>4135.29</v>
      </c>
      <c r="H19" s="19"/>
    </row>
    <row r="20" spans="1:11" ht="15.75" x14ac:dyDescent="0.25">
      <c r="A20" s="28"/>
      <c r="B20" s="29"/>
      <c r="C20" s="29"/>
      <c r="D20" s="29"/>
      <c r="E20" s="29"/>
      <c r="F20" s="28"/>
      <c r="G20" s="30"/>
      <c r="H20" s="19"/>
    </row>
    <row r="21" spans="1:11" s="31" customFormat="1" x14ac:dyDescent="0.25">
      <c r="A21"/>
      <c r="B21"/>
      <c r="C21"/>
      <c r="D21"/>
      <c r="E21"/>
      <c r="F21"/>
      <c r="G21"/>
    </row>
    <row r="22" spans="1:11" x14ac:dyDescent="0.25">
      <c r="A22" s="32" t="s">
        <v>12</v>
      </c>
      <c r="D22" s="33" t="s">
        <v>13</v>
      </c>
      <c r="E22" s="32"/>
      <c r="F22" s="32" t="s">
        <v>14</v>
      </c>
      <c r="H22" s="167"/>
    </row>
    <row r="23" spans="1:11" x14ac:dyDescent="0.25">
      <c r="G23" s="34"/>
    </row>
    <row r="25" spans="1:11" x14ac:dyDescent="0.25">
      <c r="A25" s="423" t="s">
        <v>15</v>
      </c>
      <c r="B25" s="423"/>
      <c r="C25" s="423"/>
      <c r="D25" s="166" t="s">
        <v>5</v>
      </c>
      <c r="E25" s="35"/>
      <c r="F25" s="423" t="s">
        <v>16</v>
      </c>
      <c r="G25" s="423"/>
      <c r="H25" s="35"/>
    </row>
    <row r="26" spans="1:11" x14ac:dyDescent="0.25">
      <c r="A26" s="424" t="s">
        <v>17</v>
      </c>
      <c r="B26" s="434"/>
      <c r="C26" s="434"/>
      <c r="D26" s="165" t="s">
        <v>18</v>
      </c>
      <c r="E26" s="164"/>
      <c r="F26" s="434" t="s">
        <v>19</v>
      </c>
      <c r="G26" s="434"/>
      <c r="H26" s="164"/>
      <c r="K26" s="36"/>
    </row>
    <row r="27" spans="1:11" x14ac:dyDescent="0.25">
      <c r="A27" s="164"/>
      <c r="B27" s="164"/>
      <c r="C27" s="164"/>
      <c r="E27" s="164"/>
      <c r="G27" t="s">
        <v>38</v>
      </c>
      <c r="H27" s="164"/>
    </row>
    <row r="28" spans="1:11" x14ac:dyDescent="0.25">
      <c r="H28" s="167"/>
    </row>
    <row r="29" spans="1:11" x14ac:dyDescent="0.25">
      <c r="A29" s="436" t="s">
        <v>20</v>
      </c>
      <c r="B29" s="436"/>
      <c r="C29" s="436"/>
      <c r="D29" s="436"/>
      <c r="E29" s="436"/>
      <c r="F29" s="436"/>
      <c r="G29" s="436"/>
    </row>
    <row r="31" spans="1:11" x14ac:dyDescent="0.25">
      <c r="A31" s="423" t="s">
        <v>21</v>
      </c>
      <c r="B31" s="423"/>
      <c r="C31" s="423"/>
      <c r="E31" s="31"/>
      <c r="F31" s="423" t="s">
        <v>22</v>
      </c>
      <c r="G31" s="423"/>
      <c r="H31" s="35"/>
    </row>
    <row r="32" spans="1:11" x14ac:dyDescent="0.25">
      <c r="A32" s="434" t="s">
        <v>23</v>
      </c>
      <c r="B32" s="434"/>
      <c r="C32" s="434"/>
      <c r="E32" s="31"/>
      <c r="F32" s="424" t="s">
        <v>24</v>
      </c>
      <c r="G32" s="434"/>
      <c r="H32" s="164"/>
    </row>
    <row r="33" spans="1:8" ht="15.75" thickBot="1" x14ac:dyDescent="0.3">
      <c r="A33" s="37"/>
      <c r="B33" s="37"/>
      <c r="C33" s="37"/>
      <c r="D33" s="37"/>
      <c r="E33" s="37"/>
      <c r="F33" s="37"/>
      <c r="G33" s="37"/>
    </row>
    <row r="34" spans="1:8" x14ac:dyDescent="0.25">
      <c r="A34" s="10" t="s">
        <v>172</v>
      </c>
      <c r="B34" s="3"/>
      <c r="C34" s="3"/>
      <c r="D34" s="3"/>
      <c r="E34" s="3"/>
      <c r="F34" s="10"/>
      <c r="G34" s="3"/>
      <c r="H34" s="3"/>
    </row>
    <row r="35" spans="1:8" ht="15.75" x14ac:dyDescent="0.25">
      <c r="A35" s="38" t="s">
        <v>173</v>
      </c>
      <c r="D35" s="59"/>
    </row>
    <row r="36" spans="1:8" x14ac:dyDescent="0.25">
      <c r="A36" s="9" t="s">
        <v>136</v>
      </c>
    </row>
    <row r="37" spans="1:8" x14ac:dyDescent="0.25">
      <c r="A37" s="9"/>
    </row>
    <row r="38" spans="1:8" ht="15.75" thickBot="1" x14ac:dyDescent="0.3">
      <c r="F38" s="435"/>
      <c r="G38" s="435"/>
    </row>
    <row r="39" spans="1:8" x14ac:dyDescent="0.25">
      <c r="D39" t="s">
        <v>25</v>
      </c>
      <c r="F39" s="434" t="s">
        <v>26</v>
      </c>
      <c r="G39" s="434"/>
      <c r="H39" s="164"/>
    </row>
    <row r="40" spans="1:8" x14ac:dyDescent="0.25">
      <c r="G40" s="164"/>
    </row>
    <row r="41" spans="1:8" x14ac:dyDescent="0.25">
      <c r="G41" s="164"/>
    </row>
    <row r="42" spans="1:8" x14ac:dyDescent="0.25">
      <c r="F42" s="36"/>
      <c r="G42" s="164"/>
    </row>
  </sheetData>
  <mergeCells count="17">
    <mergeCell ref="F31:G31"/>
    <mergeCell ref="A32:C32"/>
    <mergeCell ref="F32:G32"/>
    <mergeCell ref="F38:G38"/>
    <mergeCell ref="F39:G39"/>
    <mergeCell ref="A1:G1"/>
    <mergeCell ref="A2:G2"/>
    <mergeCell ref="A3:G3"/>
    <mergeCell ref="A5:G5"/>
    <mergeCell ref="A8:G8"/>
    <mergeCell ref="A29:G29"/>
    <mergeCell ref="A31:C31"/>
    <mergeCell ref="B13:E13"/>
    <mergeCell ref="A25:C25"/>
    <mergeCell ref="F25:G25"/>
    <mergeCell ref="A26:C26"/>
    <mergeCell ref="F26:G26"/>
  </mergeCells>
  <pageMargins left="0.7" right="0.7" top="0.75" bottom="0.75" header="0.3" footer="0.3"/>
  <pageSetup paperSize="9" scale="67" fitToHeight="0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8E46-5BE2-4CF2-89B4-323BB8915038}">
  <sheetPr>
    <pageSetUpPr fitToPage="1"/>
  </sheetPr>
  <dimension ref="B2:I35"/>
  <sheetViews>
    <sheetView topLeftCell="A4" workbookViewId="0">
      <selection activeCell="C25" sqref="C25"/>
    </sheetView>
  </sheetViews>
  <sheetFormatPr defaultColWidth="9.140625" defaultRowHeight="15.75" x14ac:dyDescent="0.25"/>
  <cols>
    <col min="1" max="1" width="9.140625" style="41"/>
    <col min="2" max="2" width="18.85546875" style="45" bestFit="1" customWidth="1"/>
    <col min="3" max="3" width="37.85546875" style="19" customWidth="1"/>
    <col min="4" max="4" width="24.85546875" style="55" bestFit="1" customWidth="1"/>
    <col min="5" max="5" width="18" style="49" customWidth="1"/>
    <col min="6" max="7" width="18.28515625" style="40" bestFit="1" customWidth="1"/>
    <col min="8" max="8" width="9.140625" style="41"/>
    <col min="9" max="9" width="14.28515625" style="40" bestFit="1" customWidth="1"/>
    <col min="10" max="16384" width="9.140625" style="41"/>
  </cols>
  <sheetData>
    <row r="2" spans="2:7" x14ac:dyDescent="0.25">
      <c r="B2" s="443" t="s">
        <v>169</v>
      </c>
      <c r="C2" s="443"/>
      <c r="D2" s="443"/>
      <c r="E2" s="443"/>
      <c r="F2" s="443"/>
      <c r="G2" s="443"/>
    </row>
    <row r="3" spans="2:7" x14ac:dyDescent="0.25">
      <c r="B3" s="443" t="s">
        <v>170</v>
      </c>
      <c r="C3" s="443"/>
      <c r="D3" s="443"/>
      <c r="E3" s="443"/>
      <c r="F3" s="443"/>
      <c r="G3" s="443"/>
    </row>
    <row r="6" spans="2:7" x14ac:dyDescent="0.25">
      <c r="B6" s="42" t="s">
        <v>27</v>
      </c>
      <c r="C6" s="43" t="s">
        <v>28</v>
      </c>
      <c r="D6" s="44"/>
      <c r="E6" s="444" t="s">
        <v>29</v>
      </c>
      <c r="F6" s="445"/>
      <c r="G6" s="446"/>
    </row>
    <row r="7" spans="2:7" ht="34.5" customHeight="1" x14ac:dyDescent="0.25">
      <c r="D7" s="46"/>
      <c r="E7" s="173" t="s">
        <v>37</v>
      </c>
      <c r="F7" s="173" t="s">
        <v>155</v>
      </c>
      <c r="G7" s="173" t="s">
        <v>103</v>
      </c>
    </row>
    <row r="8" spans="2:7" x14ac:dyDescent="0.25">
      <c r="D8" s="47" t="s">
        <v>30</v>
      </c>
      <c r="E8" s="150"/>
      <c r="F8" s="51"/>
    </row>
    <row r="9" spans="2:7" x14ac:dyDescent="0.25">
      <c r="B9" s="45" t="s">
        <v>156</v>
      </c>
      <c r="C9" s="19" t="s">
        <v>157</v>
      </c>
      <c r="D9" s="46" t="s">
        <v>158</v>
      </c>
      <c r="E9" s="53">
        <v>1500</v>
      </c>
    </row>
    <row r="10" spans="2:7" x14ac:dyDescent="0.25">
      <c r="C10" s="19" t="s">
        <v>159</v>
      </c>
      <c r="D10" s="46" t="s">
        <v>160</v>
      </c>
      <c r="F10" s="40">
        <v>50</v>
      </c>
    </row>
    <row r="11" spans="2:7" x14ac:dyDescent="0.25">
      <c r="C11" s="19" t="s">
        <v>162</v>
      </c>
      <c r="D11" s="46" t="s">
        <v>161</v>
      </c>
      <c r="G11" s="40">
        <v>1400.29</v>
      </c>
    </row>
    <row r="12" spans="2:7" x14ac:dyDescent="0.25">
      <c r="B12" s="45" t="s">
        <v>142</v>
      </c>
      <c r="C12" s="19" t="s">
        <v>159</v>
      </c>
      <c r="D12" s="46" t="s">
        <v>163</v>
      </c>
      <c r="F12" s="40">
        <v>60</v>
      </c>
    </row>
    <row r="13" spans="2:7" x14ac:dyDescent="0.25">
      <c r="C13" s="19" t="s">
        <v>159</v>
      </c>
      <c r="D13" s="46" t="s">
        <v>164</v>
      </c>
      <c r="F13" s="40">
        <v>60</v>
      </c>
    </row>
    <row r="14" spans="2:7" x14ac:dyDescent="0.25">
      <c r="C14" s="19" t="s">
        <v>165</v>
      </c>
      <c r="D14" s="46" t="s">
        <v>166</v>
      </c>
      <c r="G14" s="40">
        <v>225</v>
      </c>
    </row>
    <row r="15" spans="2:7" x14ac:dyDescent="0.25">
      <c r="C15" s="19" t="s">
        <v>168</v>
      </c>
      <c r="D15" s="46" t="s">
        <v>167</v>
      </c>
      <c r="E15" s="50"/>
      <c r="G15" s="40">
        <v>840</v>
      </c>
    </row>
    <row r="16" spans="2:7" x14ac:dyDescent="0.25">
      <c r="D16" s="46"/>
      <c r="E16" s="52"/>
      <c r="F16" s="60"/>
      <c r="G16" s="60"/>
    </row>
    <row r="17" spans="3:7" x14ac:dyDescent="0.25">
      <c r="D17" s="47" t="s">
        <v>31</v>
      </c>
      <c r="E17" s="53">
        <f>SUM(E9:E16)</f>
        <v>1500</v>
      </c>
      <c r="F17" s="53">
        <f t="shared" ref="F17:G17" si="0">SUM(F9:F16)</f>
        <v>170</v>
      </c>
      <c r="G17" s="53">
        <f t="shared" si="0"/>
        <v>2465.29</v>
      </c>
    </row>
    <row r="18" spans="3:7" ht="16.5" thickBot="1" x14ac:dyDescent="0.3">
      <c r="D18" s="47" t="s">
        <v>32</v>
      </c>
      <c r="E18" s="54">
        <f>SUM(E17:G17)</f>
        <v>4135.29</v>
      </c>
    </row>
    <row r="19" spans="3:7" ht="16.5" thickTop="1" x14ac:dyDescent="0.25">
      <c r="C19" s="19" t="s">
        <v>33</v>
      </c>
      <c r="E19" s="56"/>
    </row>
    <row r="22" spans="3:7" x14ac:dyDescent="0.25">
      <c r="C22" s="441" t="s">
        <v>15</v>
      </c>
      <c r="D22" s="441"/>
    </row>
    <row r="23" spans="3:7" x14ac:dyDescent="0.25">
      <c r="C23" s="440" t="s">
        <v>17</v>
      </c>
      <c r="D23" s="442"/>
    </row>
    <row r="25" spans="3:7" x14ac:dyDescent="0.25">
      <c r="C25" s="19" t="s">
        <v>34</v>
      </c>
    </row>
    <row r="28" spans="3:7" x14ac:dyDescent="0.25">
      <c r="C28" s="441" t="s">
        <v>5</v>
      </c>
      <c r="D28" s="441"/>
    </row>
    <row r="29" spans="3:7" x14ac:dyDescent="0.25">
      <c r="C29" s="440" t="s">
        <v>18</v>
      </c>
      <c r="D29" s="440"/>
    </row>
    <row r="30" spans="3:7" x14ac:dyDescent="0.25">
      <c r="C30" s="171"/>
      <c r="D30" s="46"/>
    </row>
    <row r="31" spans="3:7" x14ac:dyDescent="0.25">
      <c r="C31" s="19" t="s">
        <v>35</v>
      </c>
    </row>
    <row r="34" spans="3:4" x14ac:dyDescent="0.25">
      <c r="C34" s="441" t="s">
        <v>22</v>
      </c>
      <c r="D34" s="441"/>
    </row>
    <row r="35" spans="3:4" x14ac:dyDescent="0.25">
      <c r="C35" s="442" t="s">
        <v>24</v>
      </c>
      <c r="D35" s="442"/>
    </row>
  </sheetData>
  <mergeCells count="9">
    <mergeCell ref="C29:D29"/>
    <mergeCell ref="C34:D34"/>
    <mergeCell ref="C35:D35"/>
    <mergeCell ref="B2:G2"/>
    <mergeCell ref="B3:G3"/>
    <mergeCell ref="E6:G6"/>
    <mergeCell ref="C22:D22"/>
    <mergeCell ref="C23:D23"/>
    <mergeCell ref="C28:D28"/>
  </mergeCells>
  <pageMargins left="0.7" right="0.7" top="0.75" bottom="0.75" header="0.3" footer="0.3"/>
  <pageSetup paperSize="9" scale="60" fitToHeight="0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8B5A-516C-4D38-933C-99C9303E9DEC}">
  <sheetPr>
    <pageSetUpPr fitToPage="1"/>
  </sheetPr>
  <dimension ref="A1:K39"/>
  <sheetViews>
    <sheetView workbookViewId="0">
      <selection activeCell="J33" sqref="J33"/>
    </sheetView>
  </sheetViews>
  <sheetFormatPr defaultColWidth="9.140625" defaultRowHeight="15" x14ac:dyDescent="0.25"/>
  <cols>
    <col min="1" max="1" width="9.85546875" customWidth="1"/>
    <col min="2" max="2" width="6.28515625" customWidth="1"/>
    <col min="3" max="3" width="27.7109375" customWidth="1"/>
    <col min="4" max="4" width="27.42578125" customWidth="1"/>
    <col min="5" max="5" width="2.28515625" customWidth="1"/>
    <col min="6" max="6" width="17.140625" customWidth="1"/>
    <col min="7" max="7" width="16.7109375" customWidth="1"/>
    <col min="8" max="8" width="3.85546875" customWidth="1"/>
  </cols>
  <sheetData>
    <row r="1" spans="1:10" x14ac:dyDescent="0.25">
      <c r="A1" s="422" t="s">
        <v>0</v>
      </c>
      <c r="B1" s="422"/>
      <c r="C1" s="422"/>
      <c r="D1" s="422"/>
      <c r="E1" s="422"/>
      <c r="F1" s="422"/>
      <c r="G1" s="422"/>
      <c r="H1" s="175"/>
    </row>
    <row r="2" spans="1:10" x14ac:dyDescent="0.25">
      <c r="A2" s="434" t="s">
        <v>1</v>
      </c>
      <c r="B2" s="434"/>
      <c r="C2" s="434"/>
      <c r="D2" s="434"/>
      <c r="E2" s="434"/>
      <c r="F2" s="434"/>
      <c r="G2" s="434"/>
      <c r="H2" s="175"/>
    </row>
    <row r="3" spans="1:10" x14ac:dyDescent="0.25">
      <c r="A3" s="434" t="s">
        <v>2</v>
      </c>
      <c r="B3" s="434"/>
      <c r="C3" s="434"/>
      <c r="D3" s="434"/>
      <c r="E3" s="434"/>
      <c r="F3" s="434"/>
      <c r="G3" s="434"/>
      <c r="H3" s="175"/>
    </row>
    <row r="4" spans="1:10" ht="15.75" x14ac:dyDescent="0.25">
      <c r="F4" s="1" t="s">
        <v>3</v>
      </c>
      <c r="G4" s="2">
        <v>203653</v>
      </c>
      <c r="H4" s="182"/>
    </row>
    <row r="5" spans="1:10" ht="15.75" x14ac:dyDescent="0.25">
      <c r="A5" s="421"/>
      <c r="B5" s="421"/>
      <c r="C5" s="421"/>
      <c r="D5" s="421"/>
      <c r="E5" s="421"/>
      <c r="F5" s="421"/>
      <c r="G5" s="421"/>
      <c r="H5" s="181"/>
    </row>
    <row r="6" spans="1:10" x14ac:dyDescent="0.25">
      <c r="A6" s="3" t="s">
        <v>4</v>
      </c>
      <c r="B6" s="183"/>
      <c r="C6" s="57" t="s">
        <v>5</v>
      </c>
      <c r="D6" s="4"/>
      <c r="E6" s="180"/>
      <c r="F6" s="1" t="s">
        <v>6</v>
      </c>
      <c r="G6" s="5" t="s">
        <v>174</v>
      </c>
      <c r="H6" s="5"/>
    </row>
    <row r="7" spans="1:10" x14ac:dyDescent="0.25">
      <c r="G7" s="6"/>
      <c r="H7" s="6"/>
    </row>
    <row r="8" spans="1:10" x14ac:dyDescent="0.25">
      <c r="A8" s="438" t="s">
        <v>7</v>
      </c>
      <c r="B8" s="438"/>
      <c r="C8" s="438"/>
      <c r="D8" s="438"/>
      <c r="E8" s="438"/>
      <c r="F8" s="438"/>
      <c r="G8" s="438"/>
      <c r="H8" s="175"/>
    </row>
    <row r="9" spans="1:10" x14ac:dyDescent="0.25">
      <c r="A9" s="3"/>
      <c r="B9" s="175"/>
      <c r="C9" s="175"/>
      <c r="D9" s="175"/>
      <c r="E9" s="175"/>
      <c r="F9" s="175"/>
      <c r="G9" s="175"/>
      <c r="H9" s="175"/>
      <c r="J9" t="s">
        <v>38</v>
      </c>
    </row>
    <row r="10" spans="1:10" ht="15.75" x14ac:dyDescent="0.25">
      <c r="A10" s="7" t="s">
        <v>176</v>
      </c>
      <c r="B10" s="176"/>
      <c r="C10" s="176"/>
      <c r="D10" s="176"/>
      <c r="E10" s="176"/>
      <c r="F10" s="8"/>
      <c r="G10" s="176"/>
      <c r="H10" s="176"/>
      <c r="I10" s="9"/>
    </row>
    <row r="11" spans="1:10" ht="15.75" x14ac:dyDescent="0.25">
      <c r="A11" s="7"/>
      <c r="B11" s="10"/>
      <c r="C11" s="3"/>
      <c r="D11" s="3"/>
      <c r="E11" s="175"/>
      <c r="F11" s="11"/>
      <c r="G11" s="175"/>
      <c r="H11" s="175"/>
    </row>
    <row r="12" spans="1:10" x14ac:dyDescent="0.25">
      <c r="A12" s="179" t="s">
        <v>8</v>
      </c>
      <c r="B12" s="437"/>
      <c r="C12" s="437"/>
      <c r="D12" s="437"/>
      <c r="E12" s="437"/>
      <c r="F12" s="13" t="s">
        <v>9</v>
      </c>
      <c r="G12" s="13" t="s">
        <v>10</v>
      </c>
      <c r="H12" s="180"/>
    </row>
    <row r="13" spans="1:10" ht="15.75" x14ac:dyDescent="0.25">
      <c r="A13" s="14"/>
      <c r="B13" s="15"/>
      <c r="C13" s="15"/>
      <c r="D13" s="15"/>
      <c r="E13" s="16"/>
      <c r="F13" s="17"/>
      <c r="G13" s="18"/>
      <c r="H13" s="19"/>
    </row>
    <row r="14" spans="1:10" ht="15.75" x14ac:dyDescent="0.25">
      <c r="A14" s="20"/>
      <c r="B14" s="19"/>
      <c r="C14" s="19" t="s">
        <v>177</v>
      </c>
      <c r="D14" s="21"/>
      <c r="E14" s="22"/>
      <c r="F14" s="25">
        <v>11500</v>
      </c>
      <c r="G14" s="24"/>
      <c r="H14" s="19"/>
    </row>
    <row r="15" spans="1:10" ht="15.75" x14ac:dyDescent="0.25">
      <c r="A15" s="20"/>
      <c r="B15" s="19"/>
      <c r="C15" s="19"/>
      <c r="D15" s="19"/>
      <c r="E15" s="19"/>
      <c r="F15" s="25"/>
      <c r="G15" s="26"/>
      <c r="H15" s="19"/>
    </row>
    <row r="16" spans="1:10" ht="15.75" x14ac:dyDescent="0.25">
      <c r="A16" s="20"/>
      <c r="B16" s="19"/>
      <c r="C16" s="19"/>
      <c r="D16" s="19" t="s">
        <v>11</v>
      </c>
      <c r="E16" s="19"/>
      <c r="F16" s="23"/>
      <c r="G16" s="27">
        <f>SUM(F14:F14)</f>
        <v>11500</v>
      </c>
      <c r="H16" s="19"/>
    </row>
    <row r="17" spans="1:11" ht="15.75" x14ac:dyDescent="0.25">
      <c r="A17" s="28"/>
      <c r="B17" s="29"/>
      <c r="C17" s="29"/>
      <c r="D17" s="29"/>
      <c r="E17" s="29"/>
      <c r="F17" s="28"/>
      <c r="G17" s="30"/>
      <c r="H17" s="19"/>
    </row>
    <row r="18" spans="1:11" s="31" customFormat="1" x14ac:dyDescent="0.25">
      <c r="A18"/>
      <c r="B18"/>
      <c r="C18"/>
      <c r="D18"/>
      <c r="E18"/>
      <c r="F18"/>
      <c r="G18"/>
    </row>
    <row r="19" spans="1:11" x14ac:dyDescent="0.25">
      <c r="A19" s="32" t="s">
        <v>12</v>
      </c>
      <c r="D19" s="33" t="s">
        <v>13</v>
      </c>
      <c r="E19" s="32"/>
      <c r="F19" s="32" t="s">
        <v>14</v>
      </c>
      <c r="H19" s="178"/>
    </row>
    <row r="20" spans="1:11" x14ac:dyDescent="0.25">
      <c r="G20" s="34"/>
    </row>
    <row r="22" spans="1:11" x14ac:dyDescent="0.25">
      <c r="A22" s="423" t="s">
        <v>15</v>
      </c>
      <c r="B22" s="423"/>
      <c r="C22" s="423"/>
      <c r="D22" s="177" t="s">
        <v>5</v>
      </c>
      <c r="E22" s="35"/>
      <c r="F22" s="423" t="s">
        <v>16</v>
      </c>
      <c r="G22" s="423"/>
      <c r="H22" s="35"/>
    </row>
    <row r="23" spans="1:11" x14ac:dyDescent="0.25">
      <c r="A23" s="424" t="s">
        <v>17</v>
      </c>
      <c r="B23" s="434"/>
      <c r="C23" s="434"/>
      <c r="D23" s="176" t="s">
        <v>18</v>
      </c>
      <c r="E23" s="175"/>
      <c r="F23" s="434" t="s">
        <v>19</v>
      </c>
      <c r="G23" s="434"/>
      <c r="H23" s="175"/>
      <c r="K23" s="36"/>
    </row>
    <row r="24" spans="1:11" x14ac:dyDescent="0.25">
      <c r="A24" s="175"/>
      <c r="B24" s="175"/>
      <c r="C24" s="175"/>
      <c r="E24" s="175"/>
      <c r="G24" t="s">
        <v>38</v>
      </c>
      <c r="H24" s="175"/>
    </row>
    <row r="25" spans="1:11" x14ac:dyDescent="0.25">
      <c r="H25" s="178"/>
    </row>
    <row r="26" spans="1:11" x14ac:dyDescent="0.25">
      <c r="A26" s="436" t="s">
        <v>20</v>
      </c>
      <c r="B26" s="436"/>
      <c r="C26" s="436"/>
      <c r="D26" s="436"/>
      <c r="E26" s="436"/>
      <c r="F26" s="436"/>
      <c r="G26" s="436"/>
    </row>
    <row r="28" spans="1:11" x14ac:dyDescent="0.25">
      <c r="A28" s="423" t="s">
        <v>21</v>
      </c>
      <c r="B28" s="423"/>
      <c r="C28" s="423"/>
      <c r="E28" s="31"/>
      <c r="F28" s="423" t="s">
        <v>22</v>
      </c>
      <c r="G28" s="423"/>
      <c r="H28" s="35"/>
    </row>
    <row r="29" spans="1:11" x14ac:dyDescent="0.25">
      <c r="A29" s="434" t="s">
        <v>23</v>
      </c>
      <c r="B29" s="434"/>
      <c r="C29" s="434"/>
      <c r="E29" s="31"/>
      <c r="F29" s="424" t="s">
        <v>24</v>
      </c>
      <c r="G29" s="434"/>
      <c r="H29" s="175"/>
    </row>
    <row r="30" spans="1:11" ht="15.75" thickBot="1" x14ac:dyDescent="0.3">
      <c r="A30" s="37"/>
      <c r="B30" s="37"/>
      <c r="C30" s="37"/>
      <c r="D30" s="37"/>
      <c r="E30" s="37"/>
      <c r="F30" s="37"/>
      <c r="G30" s="37"/>
    </row>
    <row r="31" spans="1:11" x14ac:dyDescent="0.25">
      <c r="A31" s="10" t="s">
        <v>178</v>
      </c>
      <c r="B31" s="3"/>
      <c r="C31" s="3"/>
      <c r="D31" s="3"/>
      <c r="E31" s="3"/>
      <c r="F31" s="10"/>
      <c r="G31" s="3"/>
      <c r="H31" s="3"/>
    </row>
    <row r="32" spans="1:11" ht="15.75" x14ac:dyDescent="0.25">
      <c r="A32" s="38" t="s">
        <v>179</v>
      </c>
      <c r="D32" s="59"/>
    </row>
    <row r="33" spans="1:8" x14ac:dyDescent="0.25">
      <c r="A33" s="9" t="s">
        <v>175</v>
      </c>
    </row>
    <row r="34" spans="1:8" x14ac:dyDescent="0.25">
      <c r="A34" s="9"/>
    </row>
    <row r="35" spans="1:8" ht="15.75" thickBot="1" x14ac:dyDescent="0.3">
      <c r="F35" s="435"/>
      <c r="G35" s="435"/>
    </row>
    <row r="36" spans="1:8" x14ac:dyDescent="0.25">
      <c r="D36" t="s">
        <v>25</v>
      </c>
      <c r="F36" s="434" t="s">
        <v>26</v>
      </c>
      <c r="G36" s="434"/>
      <c r="H36" s="175"/>
    </row>
    <row r="37" spans="1:8" x14ac:dyDescent="0.25">
      <c r="G37" s="175"/>
    </row>
    <row r="38" spans="1:8" x14ac:dyDescent="0.25">
      <c r="G38" s="175"/>
    </row>
    <row r="39" spans="1:8" x14ac:dyDescent="0.25">
      <c r="F39" s="36"/>
      <c r="G39" s="175"/>
    </row>
  </sheetData>
  <mergeCells count="17">
    <mergeCell ref="A29:C29"/>
    <mergeCell ref="F29:G29"/>
    <mergeCell ref="F35:G35"/>
    <mergeCell ref="F36:G36"/>
    <mergeCell ref="A22:C22"/>
    <mergeCell ref="F22:G22"/>
    <mergeCell ref="A23:C23"/>
    <mergeCell ref="F23:G23"/>
    <mergeCell ref="A26:G26"/>
    <mergeCell ref="A28:C28"/>
    <mergeCell ref="F28:G28"/>
    <mergeCell ref="B12:E12"/>
    <mergeCell ref="A1:G1"/>
    <mergeCell ref="A2:G2"/>
    <mergeCell ref="A3:G3"/>
    <mergeCell ref="A5:G5"/>
    <mergeCell ref="A8:G8"/>
  </mergeCells>
  <pageMargins left="0.7" right="0.7" top="0.75" bottom="0.75" header="0.3" footer="0.3"/>
  <pageSetup paperSize="9" scale="67" fitToHeight="0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9622-6880-465D-94AA-A93D77430FC1}">
  <dimension ref="A1:J49"/>
  <sheetViews>
    <sheetView workbookViewId="0">
      <selection activeCell="G16" sqref="G16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0.5703125" style="41" customWidth="1"/>
    <col min="7" max="7" width="13.42578125" style="41" customWidth="1"/>
    <col min="8" max="8" width="24.4257812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182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46059</v>
      </c>
      <c r="I10" s="215"/>
    </row>
    <row r="11" spans="1:9" ht="15.75" x14ac:dyDescent="0.25">
      <c r="A11" s="470" t="s">
        <v>187</v>
      </c>
      <c r="B11" s="471"/>
      <c r="C11" s="474" t="s">
        <v>197</v>
      </c>
      <c r="D11" s="474"/>
      <c r="E11" s="474"/>
      <c r="F11" s="464"/>
      <c r="G11" s="447" t="s">
        <v>188</v>
      </c>
      <c r="H11" s="234" t="s">
        <v>202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201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 t="s">
        <v>198</v>
      </c>
      <c r="B15" s="220"/>
      <c r="C15" s="220"/>
      <c r="D15" s="220"/>
      <c r="E15" s="220"/>
      <c r="F15" s="221"/>
      <c r="G15" s="187"/>
      <c r="H15" s="188"/>
    </row>
    <row r="16" spans="1:9" ht="15.75" x14ac:dyDescent="0.2">
      <c r="A16" s="218" t="s">
        <v>199</v>
      </c>
      <c r="B16" s="70"/>
      <c r="C16" s="70"/>
      <c r="D16" s="70"/>
      <c r="E16" s="70"/>
      <c r="F16" s="219"/>
      <c r="G16" s="224"/>
      <c r="H16" s="225">
        <v>11500</v>
      </c>
    </row>
    <row r="17" spans="1:10" x14ac:dyDescent="0.2">
      <c r="A17" s="218" t="s">
        <v>200</v>
      </c>
      <c r="B17" s="70"/>
      <c r="C17" s="70"/>
      <c r="D17" s="70"/>
      <c r="E17" s="70"/>
      <c r="F17" s="219"/>
      <c r="G17" s="187"/>
      <c r="H17" s="188"/>
    </row>
    <row r="18" spans="1:10" x14ac:dyDescent="0.2">
      <c r="A18" s="187"/>
      <c r="F18" s="188"/>
      <c r="G18" s="187"/>
      <c r="H18" s="188"/>
    </row>
    <row r="19" spans="1:10" x14ac:dyDescent="0.2">
      <c r="A19" s="187"/>
      <c r="F19" s="188"/>
      <c r="G19" s="187"/>
      <c r="H19" s="188"/>
    </row>
    <row r="20" spans="1:10" x14ac:dyDescent="0.2">
      <c r="A20" s="187"/>
      <c r="F20" s="188"/>
      <c r="G20" s="187"/>
      <c r="H20" s="188"/>
    </row>
    <row r="21" spans="1:10" x14ac:dyDescent="0.2">
      <c r="A21" s="192"/>
      <c r="B21" s="193"/>
      <c r="C21" s="193"/>
      <c r="D21" s="193"/>
      <c r="E21" s="193"/>
      <c r="F21" s="194"/>
      <c r="G21" s="192"/>
      <c r="H21" s="194"/>
    </row>
    <row r="22" spans="1:10" ht="15.75" x14ac:dyDescent="0.25">
      <c r="A22" s="477" t="s">
        <v>191</v>
      </c>
      <c r="B22" s="481"/>
      <c r="C22" s="481"/>
      <c r="D22" s="481"/>
      <c r="E22" s="480"/>
      <c r="F22" s="482" t="s">
        <v>192</v>
      </c>
      <c r="G22" s="483"/>
      <c r="H22" s="195" t="s">
        <v>193</v>
      </c>
    </row>
    <row r="23" spans="1:10" x14ac:dyDescent="0.2">
      <c r="A23" s="226" t="s">
        <v>177</v>
      </c>
      <c r="B23" s="197"/>
      <c r="C23" s="197"/>
      <c r="D23" s="197"/>
      <c r="E23" s="197"/>
      <c r="F23" s="484">
        <v>11500</v>
      </c>
      <c r="G23" s="484"/>
      <c r="H23" s="228"/>
      <c r="J23" s="41" t="s">
        <v>196</v>
      </c>
    </row>
    <row r="24" spans="1:10" x14ac:dyDescent="0.2">
      <c r="A24" s="196"/>
      <c r="B24" s="231" t="s">
        <v>11</v>
      </c>
      <c r="C24" s="197"/>
      <c r="D24" s="197"/>
      <c r="E24" s="197"/>
      <c r="F24" s="485"/>
      <c r="G24" s="485"/>
      <c r="H24" s="230">
        <v>11500</v>
      </c>
    </row>
    <row r="25" spans="1:10" x14ac:dyDescent="0.2">
      <c r="A25" s="196"/>
      <c r="B25" s="197"/>
      <c r="C25" s="197"/>
      <c r="D25" s="197"/>
      <c r="E25" s="197"/>
      <c r="F25" s="486"/>
      <c r="G25" s="486"/>
      <c r="H25" s="227"/>
    </row>
    <row r="26" spans="1:10" x14ac:dyDescent="0.2">
      <c r="A26" s="196"/>
      <c r="B26" s="197"/>
      <c r="C26" s="197"/>
      <c r="D26" s="197"/>
      <c r="E26" s="197"/>
      <c r="F26" s="486"/>
      <c r="G26" s="486"/>
      <c r="H26" s="227"/>
    </row>
    <row r="27" spans="1:10" x14ac:dyDescent="0.2">
      <c r="A27" s="196"/>
      <c r="B27" s="197"/>
      <c r="C27" s="197"/>
      <c r="D27" s="197"/>
      <c r="E27" s="197"/>
      <c r="F27" s="486"/>
      <c r="G27" s="486"/>
      <c r="H27" s="227"/>
    </row>
    <row r="28" spans="1:10" x14ac:dyDescent="0.2">
      <c r="A28" s="196"/>
      <c r="B28" s="197"/>
      <c r="C28" s="197"/>
      <c r="D28" s="197"/>
      <c r="E28" s="199"/>
      <c r="F28" s="486"/>
      <c r="G28" s="486"/>
      <c r="H28" s="227"/>
    </row>
    <row r="29" spans="1:10" x14ac:dyDescent="0.2">
      <c r="A29" s="196"/>
      <c r="B29" s="197"/>
      <c r="C29" s="197"/>
      <c r="D29" s="197"/>
      <c r="E29" s="199"/>
      <c r="F29" s="486"/>
      <c r="G29" s="486"/>
      <c r="H29" s="227"/>
    </row>
    <row r="30" spans="1:10" x14ac:dyDescent="0.2">
      <c r="A30" s="192"/>
      <c r="B30" s="193"/>
      <c r="C30" s="193"/>
      <c r="D30" s="193"/>
      <c r="E30" s="193"/>
      <c r="F30" s="476"/>
      <c r="G30" s="476"/>
      <c r="H30" s="198"/>
    </row>
    <row r="31" spans="1:10" ht="15.75" x14ac:dyDescent="0.25">
      <c r="A31" s="200" t="s">
        <v>12</v>
      </c>
      <c r="B31" s="201"/>
      <c r="C31" s="201"/>
      <c r="D31" s="202"/>
      <c r="E31" s="200" t="s">
        <v>13</v>
      </c>
      <c r="F31" s="201"/>
      <c r="G31" s="202"/>
      <c r="H31" s="203" t="s">
        <v>14</v>
      </c>
    </row>
    <row r="32" spans="1:10" x14ac:dyDescent="0.2">
      <c r="A32" s="187"/>
      <c r="D32" s="188"/>
      <c r="E32" s="187"/>
      <c r="G32" s="188"/>
      <c r="H32" s="204"/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232" t="s">
        <v>15</v>
      </c>
      <c r="B34" s="205"/>
      <c r="C34" s="205"/>
      <c r="D34" s="206"/>
      <c r="E34" s="487" t="s">
        <v>5</v>
      </c>
      <c r="F34" s="488"/>
      <c r="G34" s="489"/>
      <c r="H34" s="233" t="s">
        <v>16</v>
      </c>
    </row>
    <row r="35" spans="1:8" x14ac:dyDescent="0.2">
      <c r="A35" s="454" t="s">
        <v>17</v>
      </c>
      <c r="B35" s="455"/>
      <c r="C35" s="455"/>
      <c r="D35" s="456"/>
      <c r="E35" s="454" t="s">
        <v>18</v>
      </c>
      <c r="F35" s="455"/>
      <c r="G35" s="456"/>
      <c r="H35" s="207" t="s">
        <v>19</v>
      </c>
    </row>
    <row r="36" spans="1:8" ht="15.75" customHeight="1" x14ac:dyDescent="0.2">
      <c r="A36" s="497" t="s">
        <v>203</v>
      </c>
      <c r="B36" s="495"/>
      <c r="C36" s="495"/>
      <c r="D36" s="495"/>
      <c r="E36" s="495"/>
      <c r="F36" s="495" t="s">
        <v>20</v>
      </c>
      <c r="G36" s="495"/>
      <c r="H36" s="496"/>
    </row>
    <row r="37" spans="1:8" x14ac:dyDescent="0.2">
      <c r="A37" s="187"/>
      <c r="H37" s="188"/>
    </row>
    <row r="38" spans="1:8" x14ac:dyDescent="0.2">
      <c r="A38" s="187"/>
      <c r="H38" s="188"/>
    </row>
    <row r="39" spans="1:8" ht="15.75" customHeight="1" x14ac:dyDescent="0.2">
      <c r="A39" s="490" t="s">
        <v>21</v>
      </c>
      <c r="B39" s="491"/>
      <c r="C39" s="491"/>
      <c r="D39" s="491"/>
      <c r="E39" s="491"/>
      <c r="F39" s="491" t="s">
        <v>22</v>
      </c>
      <c r="G39" s="491"/>
      <c r="H39" s="492"/>
    </row>
    <row r="40" spans="1:8" ht="15.75" customHeight="1" x14ac:dyDescent="0.2">
      <c r="A40" s="454" t="s">
        <v>23</v>
      </c>
      <c r="B40" s="455"/>
      <c r="C40" s="455"/>
      <c r="D40" s="455"/>
      <c r="E40" s="455"/>
      <c r="F40" s="455" t="s">
        <v>24</v>
      </c>
      <c r="G40" s="455"/>
      <c r="H40" s="456"/>
    </row>
    <row r="41" spans="1:8" x14ac:dyDescent="0.2">
      <c r="A41" s="208" t="s">
        <v>194</v>
      </c>
      <c r="B41" s="185"/>
      <c r="C41" s="185"/>
      <c r="D41" s="185"/>
      <c r="E41" s="185"/>
      <c r="F41" s="185"/>
      <c r="G41" s="185"/>
      <c r="H41" s="186"/>
    </row>
    <row r="42" spans="1:8" x14ac:dyDescent="0.2">
      <c r="A42" s="236" t="s">
        <v>204</v>
      </c>
      <c r="G42" s="209" t="s">
        <v>195</v>
      </c>
      <c r="H42" s="194"/>
    </row>
    <row r="43" spans="1:8" x14ac:dyDescent="0.2">
      <c r="A43" s="210"/>
      <c r="G43" s="209" t="s">
        <v>186</v>
      </c>
      <c r="H43" s="188"/>
    </row>
    <row r="44" spans="1:8" x14ac:dyDescent="0.2">
      <c r="A44" s="187"/>
      <c r="H44" s="188"/>
    </row>
    <row r="45" spans="1:8" x14ac:dyDescent="0.2">
      <c r="A45" s="187"/>
      <c r="H45" s="188"/>
    </row>
    <row r="46" spans="1:8" ht="15.75" thickBot="1" x14ac:dyDescent="0.25">
      <c r="A46" s="187"/>
      <c r="G46" s="211"/>
      <c r="H46" s="212"/>
    </row>
    <row r="47" spans="1:8" x14ac:dyDescent="0.2">
      <c r="A47" s="187"/>
      <c r="G47" s="493" t="s">
        <v>26</v>
      </c>
      <c r="H47" s="494"/>
    </row>
    <row r="48" spans="1:8" x14ac:dyDescent="0.2">
      <c r="A48" s="192"/>
      <c r="B48" s="193"/>
      <c r="C48" s="193"/>
      <c r="D48" s="193"/>
      <c r="E48" s="193"/>
      <c r="F48" s="193"/>
      <c r="G48" s="193"/>
      <c r="H48" s="194"/>
    </row>
    <row r="49" spans="1:1" x14ac:dyDescent="0.2">
      <c r="A49" s="185"/>
    </row>
  </sheetData>
  <mergeCells count="34">
    <mergeCell ref="A40:E40"/>
    <mergeCell ref="F40:H40"/>
    <mergeCell ref="G47:H47"/>
    <mergeCell ref="F36:H36"/>
    <mergeCell ref="A36:E36"/>
    <mergeCell ref="E34:G34"/>
    <mergeCell ref="A35:D35"/>
    <mergeCell ref="E35:G35"/>
    <mergeCell ref="A39:E39"/>
    <mergeCell ref="F39:H39"/>
    <mergeCell ref="F30:G30"/>
    <mergeCell ref="A13:F13"/>
    <mergeCell ref="G13:H13"/>
    <mergeCell ref="A22:E22"/>
    <mergeCell ref="F22:G22"/>
    <mergeCell ref="F23:G23"/>
    <mergeCell ref="F24:G24"/>
    <mergeCell ref="F25:G25"/>
    <mergeCell ref="F26:G26"/>
    <mergeCell ref="F27:G27"/>
    <mergeCell ref="F28:G28"/>
    <mergeCell ref="F29:G29"/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8" r:id="rId4" name="Check Box 4">
              <controlPr defaultSize="0" autoFill="0" autoLine="0" autoPict="0">
                <anchor moveWithCells="1">
                  <from>
                    <xdr:col>2</xdr:col>
                    <xdr:colOff>161925</xdr:colOff>
                    <xdr:row>8</xdr:row>
                    <xdr:rowOff>180975</xdr:rowOff>
                  </from>
                  <to>
                    <xdr:col>2</xdr:col>
                    <xdr:colOff>400050</xdr:colOff>
                    <xdr:row>9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9" r:id="rId5" name="Check Box 5">
              <controlPr defaultSize="0" autoFill="0" autoLine="0" autoPict="0">
                <anchor moveWithCells="1">
                  <from>
                    <xdr:col>4</xdr:col>
                    <xdr:colOff>228600</xdr:colOff>
                    <xdr:row>8</xdr:row>
                    <xdr:rowOff>180975</xdr:rowOff>
                  </from>
                  <to>
                    <xdr:col>4</xdr:col>
                    <xdr:colOff>466725</xdr:colOff>
                    <xdr:row>9</xdr:row>
                    <xdr:rowOff>361950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97FE8-9F01-474A-8B79-EC38E4383B9E}">
  <dimension ref="A1:J49"/>
  <sheetViews>
    <sheetView workbookViewId="0">
      <selection sqref="A1:XFD1048576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0.5703125" style="41" customWidth="1"/>
    <col min="7" max="7" width="13.42578125" style="41" customWidth="1"/>
    <col min="8" max="8" width="24.4257812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209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46059</v>
      </c>
      <c r="I10" s="215"/>
    </row>
    <row r="11" spans="1:9" ht="15.75" x14ac:dyDescent="0.25">
      <c r="A11" s="470" t="s">
        <v>187</v>
      </c>
      <c r="B11" s="471"/>
      <c r="C11" s="474" t="s">
        <v>205</v>
      </c>
      <c r="D11" s="474"/>
      <c r="E11" s="474"/>
      <c r="F11" s="464"/>
      <c r="G11" s="447" t="s">
        <v>188</v>
      </c>
      <c r="H11" s="234" t="s">
        <v>206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201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 t="s">
        <v>207</v>
      </c>
      <c r="B15" s="220"/>
      <c r="C15" s="220"/>
      <c r="D15" s="220"/>
      <c r="E15" s="220"/>
      <c r="F15" s="221"/>
      <c r="G15" s="187"/>
      <c r="H15" s="188"/>
    </row>
    <row r="16" spans="1:9" ht="15.75" x14ac:dyDescent="0.2">
      <c r="A16" s="218" t="s">
        <v>208</v>
      </c>
      <c r="B16" s="70"/>
      <c r="C16" s="70"/>
      <c r="D16" s="70"/>
      <c r="E16" s="70"/>
      <c r="F16" s="219"/>
      <c r="G16" s="224"/>
      <c r="H16" s="225">
        <v>1812</v>
      </c>
    </row>
    <row r="17" spans="1:10" x14ac:dyDescent="0.2">
      <c r="A17" s="218"/>
      <c r="B17" s="70"/>
      <c r="C17" s="70"/>
      <c r="D17" s="70"/>
      <c r="E17" s="70"/>
      <c r="F17" s="219"/>
      <c r="G17" s="187"/>
      <c r="H17" s="188"/>
    </row>
    <row r="18" spans="1:10" x14ac:dyDescent="0.2">
      <c r="A18" s="187"/>
      <c r="F18" s="188"/>
      <c r="G18" s="187"/>
      <c r="H18" s="188"/>
    </row>
    <row r="19" spans="1:10" x14ac:dyDescent="0.2">
      <c r="A19" s="187"/>
      <c r="F19" s="188"/>
      <c r="G19" s="187"/>
      <c r="H19" s="188"/>
    </row>
    <row r="20" spans="1:10" x14ac:dyDescent="0.2">
      <c r="A20" s="187"/>
      <c r="F20" s="188"/>
      <c r="G20" s="187"/>
      <c r="H20" s="188"/>
    </row>
    <row r="21" spans="1:10" x14ac:dyDescent="0.2">
      <c r="A21" s="192"/>
      <c r="B21" s="193"/>
      <c r="C21" s="193"/>
      <c r="D21" s="193"/>
      <c r="E21" s="193"/>
      <c r="F21" s="194"/>
      <c r="G21" s="192"/>
      <c r="H21" s="194"/>
    </row>
    <row r="22" spans="1:10" ht="15.75" x14ac:dyDescent="0.25">
      <c r="A22" s="477" t="s">
        <v>191</v>
      </c>
      <c r="B22" s="481"/>
      <c r="C22" s="481"/>
      <c r="D22" s="481"/>
      <c r="E22" s="480"/>
      <c r="F22" s="482" t="s">
        <v>192</v>
      </c>
      <c r="G22" s="483"/>
      <c r="H22" s="195" t="s">
        <v>193</v>
      </c>
    </row>
    <row r="23" spans="1:10" x14ac:dyDescent="0.2">
      <c r="A23" s="226" t="s">
        <v>210</v>
      </c>
      <c r="B23" s="197"/>
      <c r="C23" s="197"/>
      <c r="D23" s="197"/>
      <c r="E23" s="197"/>
      <c r="F23" s="484">
        <v>1812</v>
      </c>
      <c r="G23" s="484"/>
      <c r="H23" s="229"/>
      <c r="J23" s="41" t="s">
        <v>196</v>
      </c>
    </row>
    <row r="24" spans="1:10" x14ac:dyDescent="0.2">
      <c r="A24" s="196"/>
      <c r="B24" s="231" t="s">
        <v>41</v>
      </c>
      <c r="C24" s="197"/>
      <c r="D24" s="197"/>
      <c r="E24" s="197"/>
      <c r="F24" s="485"/>
      <c r="G24" s="485"/>
      <c r="H24" s="230">
        <v>1812</v>
      </c>
    </row>
    <row r="25" spans="1:10" x14ac:dyDescent="0.2">
      <c r="A25" s="196"/>
      <c r="B25" s="197"/>
      <c r="C25" s="197"/>
      <c r="D25" s="197"/>
      <c r="E25" s="197"/>
      <c r="F25" s="486"/>
      <c r="G25" s="486"/>
      <c r="H25" s="227"/>
    </row>
    <row r="26" spans="1:10" x14ac:dyDescent="0.2">
      <c r="A26" s="196"/>
      <c r="B26" s="197"/>
      <c r="C26" s="197"/>
      <c r="D26" s="197"/>
      <c r="E26" s="197"/>
      <c r="F26" s="486"/>
      <c r="G26" s="486"/>
      <c r="H26" s="227"/>
    </row>
    <row r="27" spans="1:10" x14ac:dyDescent="0.2">
      <c r="A27" s="196"/>
      <c r="B27" s="197"/>
      <c r="C27" s="197"/>
      <c r="D27" s="197"/>
      <c r="E27" s="197"/>
      <c r="F27" s="486"/>
      <c r="G27" s="486"/>
      <c r="H27" s="227"/>
    </row>
    <row r="28" spans="1:10" x14ac:dyDescent="0.2">
      <c r="A28" s="196"/>
      <c r="B28" s="197"/>
      <c r="C28" s="197"/>
      <c r="D28" s="197"/>
      <c r="E28" s="199"/>
      <c r="F28" s="486"/>
      <c r="G28" s="486"/>
      <c r="H28" s="227"/>
    </row>
    <row r="29" spans="1:10" x14ac:dyDescent="0.2">
      <c r="A29" s="196"/>
      <c r="B29" s="197"/>
      <c r="C29" s="197"/>
      <c r="D29" s="197"/>
      <c r="E29" s="199"/>
      <c r="F29" s="486"/>
      <c r="G29" s="486"/>
      <c r="H29" s="227"/>
    </row>
    <row r="30" spans="1:10" x14ac:dyDescent="0.2">
      <c r="A30" s="192"/>
      <c r="B30" s="193"/>
      <c r="C30" s="193"/>
      <c r="D30" s="193"/>
      <c r="E30" s="193"/>
      <c r="F30" s="476"/>
      <c r="G30" s="476"/>
      <c r="H30" s="198"/>
    </row>
    <row r="31" spans="1:10" ht="15.75" x14ac:dyDescent="0.25">
      <c r="A31" s="200" t="s">
        <v>12</v>
      </c>
      <c r="B31" s="201"/>
      <c r="C31" s="201"/>
      <c r="D31" s="202"/>
      <c r="E31" s="200" t="s">
        <v>13</v>
      </c>
      <c r="F31" s="201"/>
      <c r="G31" s="202"/>
      <c r="H31" s="203" t="s">
        <v>14</v>
      </c>
    </row>
    <row r="32" spans="1:10" x14ac:dyDescent="0.2">
      <c r="A32" s="187"/>
      <c r="D32" s="188"/>
      <c r="E32" s="187"/>
      <c r="G32" s="188"/>
      <c r="H32" s="204"/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232" t="s">
        <v>15</v>
      </c>
      <c r="B34" s="205"/>
      <c r="C34" s="205"/>
      <c r="D34" s="206"/>
      <c r="E34" s="487" t="s">
        <v>5</v>
      </c>
      <c r="F34" s="488"/>
      <c r="G34" s="489"/>
      <c r="H34" s="233" t="s">
        <v>16</v>
      </c>
    </row>
    <row r="35" spans="1:8" x14ac:dyDescent="0.2">
      <c r="A35" s="454" t="s">
        <v>17</v>
      </c>
      <c r="B35" s="455"/>
      <c r="C35" s="455"/>
      <c r="D35" s="456"/>
      <c r="E35" s="454" t="s">
        <v>18</v>
      </c>
      <c r="F35" s="455"/>
      <c r="G35" s="456"/>
      <c r="H35" s="207" t="s">
        <v>19</v>
      </c>
    </row>
    <row r="36" spans="1:8" ht="15.75" customHeight="1" x14ac:dyDescent="0.2">
      <c r="A36" s="497" t="s">
        <v>203</v>
      </c>
      <c r="B36" s="495"/>
      <c r="C36" s="495"/>
      <c r="D36" s="495"/>
      <c r="E36" s="495"/>
      <c r="F36" s="495" t="s">
        <v>20</v>
      </c>
      <c r="G36" s="495"/>
      <c r="H36" s="496"/>
    </row>
    <row r="37" spans="1:8" x14ac:dyDescent="0.2">
      <c r="A37" s="187"/>
      <c r="H37" s="188"/>
    </row>
    <row r="38" spans="1:8" x14ac:dyDescent="0.2">
      <c r="A38" s="187"/>
      <c r="H38" s="188"/>
    </row>
    <row r="39" spans="1:8" ht="15.75" customHeight="1" x14ac:dyDescent="0.2">
      <c r="A39" s="490" t="s">
        <v>21</v>
      </c>
      <c r="B39" s="491"/>
      <c r="C39" s="491"/>
      <c r="D39" s="491"/>
      <c r="E39" s="491"/>
      <c r="F39" s="491" t="s">
        <v>22</v>
      </c>
      <c r="G39" s="491"/>
      <c r="H39" s="492"/>
    </row>
    <row r="40" spans="1:8" ht="15.75" customHeight="1" x14ac:dyDescent="0.2">
      <c r="A40" s="454" t="s">
        <v>23</v>
      </c>
      <c r="B40" s="455"/>
      <c r="C40" s="455"/>
      <c r="D40" s="455"/>
      <c r="E40" s="455"/>
      <c r="F40" s="455" t="s">
        <v>24</v>
      </c>
      <c r="G40" s="455"/>
      <c r="H40" s="456"/>
    </row>
    <row r="41" spans="1:8" x14ac:dyDescent="0.2">
      <c r="A41" s="208" t="s">
        <v>211</v>
      </c>
      <c r="B41" s="185"/>
      <c r="C41" s="185"/>
      <c r="D41" s="185"/>
      <c r="E41" s="185"/>
      <c r="F41" s="185"/>
      <c r="G41" s="185"/>
      <c r="H41" s="186"/>
    </row>
    <row r="42" spans="1:8" x14ac:dyDescent="0.2">
      <c r="A42" s="237" t="s">
        <v>213</v>
      </c>
      <c r="G42" s="209" t="s">
        <v>195</v>
      </c>
      <c r="H42" s="238" t="s">
        <v>212</v>
      </c>
    </row>
    <row r="43" spans="1:8" x14ac:dyDescent="0.2">
      <c r="A43" s="210"/>
      <c r="G43" s="209" t="s">
        <v>186</v>
      </c>
      <c r="H43" s="188"/>
    </row>
    <row r="44" spans="1:8" x14ac:dyDescent="0.2">
      <c r="A44" s="187"/>
      <c r="H44" s="188"/>
    </row>
    <row r="45" spans="1:8" x14ac:dyDescent="0.2">
      <c r="A45" s="187"/>
      <c r="H45" s="188"/>
    </row>
    <row r="46" spans="1:8" ht="15.75" thickBot="1" x14ac:dyDescent="0.25">
      <c r="A46" s="187"/>
      <c r="G46" s="211"/>
      <c r="H46" s="212"/>
    </row>
    <row r="47" spans="1:8" x14ac:dyDescent="0.2">
      <c r="A47" s="187"/>
      <c r="G47" s="493" t="s">
        <v>26</v>
      </c>
      <c r="H47" s="494"/>
    </row>
    <row r="48" spans="1:8" x14ac:dyDescent="0.2">
      <c r="A48" s="192"/>
      <c r="B48" s="193"/>
      <c r="C48" s="193"/>
      <c r="D48" s="193"/>
      <c r="E48" s="193"/>
      <c r="F48" s="193"/>
      <c r="G48" s="193"/>
      <c r="H48" s="194"/>
    </row>
    <row r="49" spans="1:1" x14ac:dyDescent="0.2">
      <c r="A49" s="185"/>
    </row>
  </sheetData>
  <mergeCells count="34"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  <mergeCell ref="F30:G30"/>
    <mergeCell ref="A13:F13"/>
    <mergeCell ref="G13:H13"/>
    <mergeCell ref="A22:E22"/>
    <mergeCell ref="F22:G22"/>
    <mergeCell ref="F23:G23"/>
    <mergeCell ref="F24:G24"/>
    <mergeCell ref="F25:G25"/>
    <mergeCell ref="F26:G26"/>
    <mergeCell ref="F27:G27"/>
    <mergeCell ref="F28:G28"/>
    <mergeCell ref="F29:G29"/>
    <mergeCell ref="A40:E40"/>
    <mergeCell ref="F40:H40"/>
    <mergeCell ref="G47:H47"/>
    <mergeCell ref="E34:G34"/>
    <mergeCell ref="A35:D35"/>
    <mergeCell ref="E35:G35"/>
    <mergeCell ref="A36:E36"/>
    <mergeCell ref="F36:H36"/>
    <mergeCell ref="A39:E39"/>
    <mergeCell ref="F39:H39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Check Box 1">
              <controlPr defaultSize="0" autoFill="0" autoLine="0" autoPict="0">
                <anchor moveWithCells="1">
                  <from>
                    <xdr:col>2</xdr:col>
                    <xdr:colOff>152400</xdr:colOff>
                    <xdr:row>8</xdr:row>
                    <xdr:rowOff>95250</xdr:rowOff>
                  </from>
                  <to>
                    <xdr:col>2</xdr:col>
                    <xdr:colOff>390525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Check Box 2">
              <controlPr defaultSize="0" autoFill="0" autoLine="0" autoPict="0">
                <anchor moveWithCells="1">
                  <from>
                    <xdr:col>4</xdr:col>
                    <xdr:colOff>228600</xdr:colOff>
                    <xdr:row>8</xdr:row>
                    <xdr:rowOff>95250</xdr:rowOff>
                  </from>
                  <to>
                    <xdr:col>4</xdr:col>
                    <xdr:colOff>466725</xdr:colOff>
                    <xdr:row>10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3BF9-C677-4329-9268-D63AE27DA332}">
  <dimension ref="A1:J49"/>
  <sheetViews>
    <sheetView topLeftCell="A7" workbookViewId="0">
      <selection activeCell="B24" sqref="B24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0.5703125" style="41" customWidth="1"/>
    <col min="7" max="7" width="13.42578125" style="41" customWidth="1"/>
    <col min="8" max="8" width="24.4257812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214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46059</v>
      </c>
      <c r="I10" s="215"/>
    </row>
    <row r="11" spans="1:9" ht="15.75" x14ac:dyDescent="0.25">
      <c r="A11" s="470" t="s">
        <v>187</v>
      </c>
      <c r="B11" s="471"/>
      <c r="C11" s="474" t="s">
        <v>215</v>
      </c>
      <c r="D11" s="474"/>
      <c r="E11" s="474"/>
      <c r="F11" s="464"/>
      <c r="G11" s="447" t="s">
        <v>188</v>
      </c>
      <c r="H11" s="234" t="s">
        <v>216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217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 t="s">
        <v>218</v>
      </c>
      <c r="B15" s="220"/>
      <c r="C15" s="220"/>
      <c r="D15" s="220"/>
      <c r="E15" s="220"/>
      <c r="F15" s="221"/>
      <c r="G15" s="187"/>
      <c r="H15" s="188"/>
    </row>
    <row r="16" spans="1:9" ht="15.75" x14ac:dyDescent="0.2">
      <c r="A16" s="218" t="s">
        <v>219</v>
      </c>
      <c r="B16" s="70"/>
      <c r="C16" s="70"/>
      <c r="D16" s="70"/>
      <c r="E16" s="70"/>
      <c r="F16" s="219"/>
      <c r="G16" s="224"/>
      <c r="H16" s="225">
        <v>1000</v>
      </c>
    </row>
    <row r="17" spans="1:10" x14ac:dyDescent="0.2">
      <c r="A17" s="218"/>
      <c r="B17" s="70"/>
      <c r="C17" s="70"/>
      <c r="D17" s="70"/>
      <c r="E17" s="70"/>
      <c r="F17" s="219"/>
      <c r="G17" s="187"/>
      <c r="H17" s="188"/>
    </row>
    <row r="18" spans="1:10" x14ac:dyDescent="0.2">
      <c r="A18" s="187"/>
      <c r="F18" s="188"/>
      <c r="G18" s="187"/>
      <c r="H18" s="188"/>
    </row>
    <row r="19" spans="1:10" x14ac:dyDescent="0.2">
      <c r="A19" s="187"/>
      <c r="F19" s="188"/>
      <c r="G19" s="187"/>
      <c r="H19" s="188"/>
    </row>
    <row r="20" spans="1:10" x14ac:dyDescent="0.2">
      <c r="A20" s="187"/>
      <c r="F20" s="188"/>
      <c r="G20" s="187"/>
      <c r="H20" s="188"/>
    </row>
    <row r="21" spans="1:10" x14ac:dyDescent="0.2">
      <c r="A21" s="192"/>
      <c r="B21" s="193"/>
      <c r="C21" s="193"/>
      <c r="D21" s="193"/>
      <c r="E21" s="193"/>
      <c r="F21" s="194"/>
      <c r="G21" s="192"/>
      <c r="H21" s="194"/>
    </row>
    <row r="22" spans="1:10" ht="15.75" x14ac:dyDescent="0.25">
      <c r="A22" s="477" t="s">
        <v>191</v>
      </c>
      <c r="B22" s="481"/>
      <c r="C22" s="481"/>
      <c r="D22" s="481"/>
      <c r="E22" s="480"/>
      <c r="F22" s="482" t="s">
        <v>192</v>
      </c>
      <c r="G22" s="483"/>
      <c r="H22" s="195" t="s">
        <v>193</v>
      </c>
    </row>
    <row r="23" spans="1:10" x14ac:dyDescent="0.2">
      <c r="A23" s="226" t="s">
        <v>37</v>
      </c>
      <c r="B23" s="197"/>
      <c r="C23" s="197"/>
      <c r="D23" s="197"/>
      <c r="E23" s="197"/>
      <c r="F23" s="484">
        <v>1000</v>
      </c>
      <c r="G23" s="484"/>
      <c r="H23" s="229"/>
      <c r="J23" s="41" t="s">
        <v>196</v>
      </c>
    </row>
    <row r="24" spans="1:10" x14ac:dyDescent="0.2">
      <c r="A24" s="196"/>
      <c r="B24" s="231" t="s">
        <v>36</v>
      </c>
      <c r="C24" s="197"/>
      <c r="D24" s="197"/>
      <c r="E24" s="197"/>
      <c r="F24" s="485"/>
      <c r="G24" s="485"/>
      <c r="H24" s="230">
        <v>1000</v>
      </c>
    </row>
    <row r="25" spans="1:10" x14ac:dyDescent="0.2">
      <c r="A25" s="196"/>
      <c r="B25" s="197"/>
      <c r="C25" s="197"/>
      <c r="D25" s="197"/>
      <c r="E25" s="197"/>
      <c r="F25" s="486"/>
      <c r="G25" s="486"/>
      <c r="H25" s="227"/>
    </row>
    <row r="26" spans="1:10" x14ac:dyDescent="0.2">
      <c r="A26" s="196"/>
      <c r="B26" s="197"/>
      <c r="C26" s="197"/>
      <c r="D26" s="197"/>
      <c r="E26" s="197"/>
      <c r="F26" s="486"/>
      <c r="G26" s="486"/>
      <c r="H26" s="227"/>
    </row>
    <row r="27" spans="1:10" x14ac:dyDescent="0.2">
      <c r="A27" s="196"/>
      <c r="B27" s="197"/>
      <c r="C27" s="197"/>
      <c r="D27" s="197"/>
      <c r="E27" s="197"/>
      <c r="F27" s="486"/>
      <c r="G27" s="486"/>
      <c r="H27" s="227"/>
    </row>
    <row r="28" spans="1:10" x14ac:dyDescent="0.2">
      <c r="A28" s="196"/>
      <c r="B28" s="197"/>
      <c r="C28" s="197"/>
      <c r="D28" s="197"/>
      <c r="E28" s="199"/>
      <c r="F28" s="486"/>
      <c r="G28" s="486"/>
      <c r="H28" s="227"/>
    </row>
    <row r="29" spans="1:10" x14ac:dyDescent="0.2">
      <c r="A29" s="196"/>
      <c r="B29" s="197"/>
      <c r="C29" s="197"/>
      <c r="D29" s="197"/>
      <c r="E29" s="199"/>
      <c r="F29" s="486"/>
      <c r="G29" s="486"/>
      <c r="H29" s="227"/>
    </row>
    <row r="30" spans="1:10" x14ac:dyDescent="0.2">
      <c r="A30" s="192"/>
      <c r="B30" s="193"/>
      <c r="C30" s="193"/>
      <c r="D30" s="193"/>
      <c r="E30" s="193"/>
      <c r="F30" s="476"/>
      <c r="G30" s="476"/>
      <c r="H30" s="198"/>
    </row>
    <row r="31" spans="1:10" ht="15.75" x14ac:dyDescent="0.25">
      <c r="A31" s="200" t="s">
        <v>12</v>
      </c>
      <c r="B31" s="201"/>
      <c r="C31" s="201"/>
      <c r="D31" s="202"/>
      <c r="E31" s="200" t="s">
        <v>13</v>
      </c>
      <c r="F31" s="201"/>
      <c r="G31" s="202"/>
      <c r="H31" s="203" t="s">
        <v>14</v>
      </c>
    </row>
    <row r="32" spans="1:10" x14ac:dyDescent="0.2">
      <c r="A32" s="187"/>
      <c r="D32" s="188"/>
      <c r="E32" s="187"/>
      <c r="G32" s="188"/>
      <c r="H32" s="204"/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232" t="s">
        <v>15</v>
      </c>
      <c r="B34" s="205"/>
      <c r="C34" s="205"/>
      <c r="D34" s="206"/>
      <c r="E34" s="487" t="s">
        <v>5</v>
      </c>
      <c r="F34" s="488"/>
      <c r="G34" s="489"/>
      <c r="H34" s="233" t="s">
        <v>16</v>
      </c>
    </row>
    <row r="35" spans="1:8" x14ac:dyDescent="0.2">
      <c r="A35" s="454" t="s">
        <v>17</v>
      </c>
      <c r="B35" s="455"/>
      <c r="C35" s="455"/>
      <c r="D35" s="456"/>
      <c r="E35" s="454" t="s">
        <v>18</v>
      </c>
      <c r="F35" s="455"/>
      <c r="G35" s="456"/>
      <c r="H35" s="207" t="s">
        <v>19</v>
      </c>
    </row>
    <row r="36" spans="1:8" ht="15.75" customHeight="1" x14ac:dyDescent="0.2">
      <c r="A36" s="497" t="s">
        <v>203</v>
      </c>
      <c r="B36" s="495"/>
      <c r="C36" s="495"/>
      <c r="D36" s="495"/>
      <c r="E36" s="495"/>
      <c r="F36" s="495" t="s">
        <v>20</v>
      </c>
      <c r="G36" s="495"/>
      <c r="H36" s="496"/>
    </row>
    <row r="37" spans="1:8" x14ac:dyDescent="0.2">
      <c r="A37" s="187"/>
      <c r="H37" s="188"/>
    </row>
    <row r="38" spans="1:8" x14ac:dyDescent="0.2">
      <c r="A38" s="187"/>
      <c r="H38" s="188"/>
    </row>
    <row r="39" spans="1:8" ht="15.75" customHeight="1" x14ac:dyDescent="0.2">
      <c r="A39" s="490" t="s">
        <v>21</v>
      </c>
      <c r="B39" s="491"/>
      <c r="C39" s="491"/>
      <c r="D39" s="491"/>
      <c r="E39" s="491"/>
      <c r="F39" s="491" t="s">
        <v>22</v>
      </c>
      <c r="G39" s="491"/>
      <c r="H39" s="492"/>
    </row>
    <row r="40" spans="1:8" ht="15.75" customHeight="1" x14ac:dyDescent="0.2">
      <c r="A40" s="454" t="s">
        <v>23</v>
      </c>
      <c r="B40" s="455"/>
      <c r="C40" s="455"/>
      <c r="D40" s="455"/>
      <c r="E40" s="455"/>
      <c r="F40" s="455" t="s">
        <v>24</v>
      </c>
      <c r="G40" s="455"/>
      <c r="H40" s="456"/>
    </row>
    <row r="41" spans="1:8" x14ac:dyDescent="0.2">
      <c r="A41" s="208" t="s">
        <v>220</v>
      </c>
      <c r="B41" s="185"/>
      <c r="C41" s="185"/>
      <c r="D41" s="185"/>
      <c r="E41" s="185"/>
      <c r="F41" s="185"/>
      <c r="G41" s="185"/>
      <c r="H41" s="186"/>
    </row>
    <row r="42" spans="1:8" x14ac:dyDescent="0.2">
      <c r="A42" s="236" t="s">
        <v>221</v>
      </c>
      <c r="G42" s="209" t="s">
        <v>195</v>
      </c>
      <c r="H42" s="238"/>
    </row>
    <row r="43" spans="1:8" x14ac:dyDescent="0.2">
      <c r="A43" s="210"/>
      <c r="G43" s="209" t="s">
        <v>186</v>
      </c>
      <c r="H43" s="188"/>
    </row>
    <row r="44" spans="1:8" x14ac:dyDescent="0.2">
      <c r="A44" s="187"/>
      <c r="H44" s="188"/>
    </row>
    <row r="45" spans="1:8" x14ac:dyDescent="0.2">
      <c r="A45" s="187"/>
      <c r="H45" s="188"/>
    </row>
    <row r="46" spans="1:8" ht="15.75" thickBot="1" x14ac:dyDescent="0.25">
      <c r="A46" s="187"/>
      <c r="G46" s="211"/>
      <c r="H46" s="212"/>
    </row>
    <row r="47" spans="1:8" x14ac:dyDescent="0.2">
      <c r="A47" s="187"/>
      <c r="G47" s="493" t="s">
        <v>26</v>
      </c>
      <c r="H47" s="494"/>
    </row>
    <row r="48" spans="1:8" x14ac:dyDescent="0.2">
      <c r="A48" s="192"/>
      <c r="B48" s="193"/>
      <c r="C48" s="193"/>
      <c r="D48" s="193"/>
      <c r="E48" s="193"/>
      <c r="F48" s="193"/>
      <c r="G48" s="193"/>
      <c r="H48" s="194"/>
    </row>
    <row r="49" spans="1:1" x14ac:dyDescent="0.2">
      <c r="A49" s="185"/>
    </row>
  </sheetData>
  <mergeCells count="34"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  <mergeCell ref="F30:G30"/>
    <mergeCell ref="A13:F13"/>
    <mergeCell ref="G13:H13"/>
    <mergeCell ref="A22:E22"/>
    <mergeCell ref="F22:G22"/>
    <mergeCell ref="F23:G23"/>
    <mergeCell ref="F24:G24"/>
    <mergeCell ref="F25:G25"/>
    <mergeCell ref="F26:G26"/>
    <mergeCell ref="F27:G27"/>
    <mergeCell ref="F28:G28"/>
    <mergeCell ref="F29:G29"/>
    <mergeCell ref="A40:E40"/>
    <mergeCell ref="F40:H40"/>
    <mergeCell ref="G47:H47"/>
    <mergeCell ref="E34:G34"/>
    <mergeCell ref="A35:D35"/>
    <mergeCell ref="E35:G35"/>
    <mergeCell ref="A36:E36"/>
    <mergeCell ref="F36:H36"/>
    <mergeCell ref="A39:E39"/>
    <mergeCell ref="F39:H39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69" r:id="rId4" name="Check Box 1">
              <controlPr defaultSize="0" autoFill="0" autoLine="0" autoPict="0">
                <anchor moveWithCells="1">
                  <from>
                    <xdr:col>2</xdr:col>
                    <xdr:colOff>152400</xdr:colOff>
                    <xdr:row>7</xdr:row>
                    <xdr:rowOff>180975</xdr:rowOff>
                  </from>
                  <to>
                    <xdr:col>2</xdr:col>
                    <xdr:colOff>390525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0" r:id="rId5" name="Check Box 2">
              <controlPr defaultSize="0" autoFill="0" autoLine="0" autoPict="0">
                <anchor moveWithCells="1">
                  <from>
                    <xdr:col>4</xdr:col>
                    <xdr:colOff>209550</xdr:colOff>
                    <xdr:row>7</xdr:row>
                    <xdr:rowOff>180975</xdr:rowOff>
                  </from>
                  <to>
                    <xdr:col>4</xdr:col>
                    <xdr:colOff>447675</xdr:colOff>
                    <xdr:row>10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272D5-A118-48B0-8A64-70E3C5365236}">
  <dimension ref="A1:J49"/>
  <sheetViews>
    <sheetView topLeftCell="A2" workbookViewId="0">
      <selection activeCell="A2" sqref="A1:XFD1048576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0.5703125" style="41" customWidth="1"/>
    <col min="7" max="7" width="13.42578125" style="41" customWidth="1"/>
    <col min="8" max="8" width="24.4257812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222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46059</v>
      </c>
      <c r="I10" s="215"/>
    </row>
    <row r="11" spans="1:9" ht="15.75" x14ac:dyDescent="0.25">
      <c r="A11" s="470" t="s">
        <v>187</v>
      </c>
      <c r="B11" s="471"/>
      <c r="C11" s="474" t="s">
        <v>215</v>
      </c>
      <c r="D11" s="474"/>
      <c r="E11" s="474"/>
      <c r="F11" s="464"/>
      <c r="G11" s="447" t="s">
        <v>188</v>
      </c>
      <c r="H11" s="234" t="s">
        <v>216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217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 t="s">
        <v>262</v>
      </c>
      <c r="B15" s="220"/>
      <c r="C15" s="220"/>
      <c r="D15" s="220"/>
      <c r="E15" s="220"/>
      <c r="F15" s="221"/>
      <c r="G15" s="187"/>
      <c r="H15" s="188"/>
    </row>
    <row r="16" spans="1:9" ht="15.75" x14ac:dyDescent="0.2">
      <c r="A16" s="272" t="s">
        <v>264</v>
      </c>
      <c r="B16" s="70"/>
      <c r="C16" s="70"/>
      <c r="D16" s="70"/>
      <c r="E16" s="70"/>
      <c r="F16" s="219"/>
      <c r="G16" s="224"/>
      <c r="H16" s="225">
        <v>3688</v>
      </c>
    </row>
    <row r="17" spans="1:10" x14ac:dyDescent="0.2">
      <c r="A17" s="272" t="s">
        <v>263</v>
      </c>
      <c r="B17" s="70"/>
      <c r="C17" s="70"/>
      <c r="D17" s="70"/>
      <c r="E17" s="70"/>
      <c r="F17" s="219"/>
      <c r="G17" s="187"/>
      <c r="H17" s="188"/>
    </row>
    <row r="18" spans="1:10" x14ac:dyDescent="0.2">
      <c r="A18" s="272" t="s">
        <v>265</v>
      </c>
      <c r="F18" s="188"/>
      <c r="G18" s="187"/>
      <c r="H18" s="188"/>
    </row>
    <row r="19" spans="1:10" x14ac:dyDescent="0.2">
      <c r="A19" s="272" t="s">
        <v>266</v>
      </c>
      <c r="F19" s="188"/>
      <c r="G19" s="187"/>
      <c r="H19" s="188"/>
    </row>
    <row r="20" spans="1:10" x14ac:dyDescent="0.2">
      <c r="A20" s="272" t="s">
        <v>267</v>
      </c>
      <c r="F20" s="188"/>
      <c r="G20" s="187"/>
      <c r="H20" s="188"/>
    </row>
    <row r="21" spans="1:10" x14ac:dyDescent="0.2">
      <c r="A21" s="272" t="s">
        <v>268</v>
      </c>
      <c r="F21" s="188"/>
      <c r="G21" s="187"/>
      <c r="H21" s="188"/>
    </row>
    <row r="22" spans="1:10" x14ac:dyDescent="0.2">
      <c r="A22" s="272" t="s">
        <v>269</v>
      </c>
      <c r="F22" s="188"/>
      <c r="G22" s="187"/>
      <c r="H22" s="188"/>
    </row>
    <row r="23" spans="1:10" x14ac:dyDescent="0.2">
      <c r="A23" s="192"/>
      <c r="B23" s="193"/>
      <c r="C23" s="193"/>
      <c r="D23" s="193"/>
      <c r="E23" s="193"/>
      <c r="F23" s="194"/>
      <c r="G23" s="192"/>
      <c r="H23" s="194"/>
    </row>
    <row r="24" spans="1:10" x14ac:dyDescent="0.2">
      <c r="A24" s="192"/>
      <c r="B24" s="193"/>
      <c r="C24" s="193"/>
      <c r="D24" s="193"/>
      <c r="E24" s="193"/>
      <c r="F24" s="193"/>
      <c r="G24" s="193"/>
      <c r="H24" s="194"/>
    </row>
    <row r="25" spans="1:10" ht="15.75" x14ac:dyDescent="0.25">
      <c r="A25" s="477" t="s">
        <v>191</v>
      </c>
      <c r="B25" s="481"/>
      <c r="C25" s="481"/>
      <c r="D25" s="481"/>
      <c r="E25" s="480"/>
      <c r="F25" s="482" t="s">
        <v>192</v>
      </c>
      <c r="G25" s="483"/>
      <c r="H25" s="195" t="s">
        <v>193</v>
      </c>
    </row>
    <row r="26" spans="1:10" x14ac:dyDescent="0.2">
      <c r="A26" s="226" t="s">
        <v>226</v>
      </c>
      <c r="B26" s="197"/>
      <c r="C26" s="197"/>
      <c r="D26" s="197"/>
      <c r="E26" s="197"/>
      <c r="F26" s="484">
        <f>3688</f>
        <v>3688</v>
      </c>
      <c r="G26" s="484"/>
      <c r="H26" s="229"/>
      <c r="J26" s="41" t="s">
        <v>196</v>
      </c>
    </row>
    <row r="27" spans="1:10" x14ac:dyDescent="0.2">
      <c r="A27" s="196"/>
      <c r="B27" s="231" t="s">
        <v>36</v>
      </c>
      <c r="C27" s="197"/>
      <c r="D27" s="197"/>
      <c r="E27" s="197"/>
      <c r="F27" s="485"/>
      <c r="G27" s="485"/>
      <c r="H27" s="230">
        <f>SUM(F26)</f>
        <v>3688</v>
      </c>
    </row>
    <row r="28" spans="1:10" x14ac:dyDescent="0.2">
      <c r="A28" s="196"/>
      <c r="B28" s="197"/>
      <c r="C28" s="197"/>
      <c r="D28" s="197"/>
      <c r="E28" s="197"/>
      <c r="F28" s="486"/>
      <c r="G28" s="486"/>
      <c r="H28" s="227"/>
    </row>
    <row r="29" spans="1:10" x14ac:dyDescent="0.2">
      <c r="A29" s="196"/>
      <c r="B29" s="197"/>
      <c r="C29" s="197"/>
      <c r="D29" s="197"/>
      <c r="E29" s="197"/>
      <c r="F29" s="486"/>
      <c r="G29" s="486"/>
      <c r="H29" s="227"/>
    </row>
    <row r="30" spans="1:10" x14ac:dyDescent="0.2">
      <c r="A30" s="196"/>
      <c r="B30" s="197"/>
      <c r="C30" s="197"/>
      <c r="D30" s="197"/>
      <c r="E30" s="199"/>
      <c r="F30" s="486"/>
      <c r="G30" s="486"/>
      <c r="H30" s="227"/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13</v>
      </c>
      <c r="F32" s="201"/>
      <c r="G32" s="202"/>
      <c r="H32" s="203" t="s">
        <v>14</v>
      </c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187"/>
      <c r="D34" s="188"/>
      <c r="E34" s="187"/>
      <c r="G34" s="188"/>
      <c r="H34" s="204"/>
    </row>
    <row r="35" spans="1:8" x14ac:dyDescent="0.2">
      <c r="A35" s="232" t="s">
        <v>15</v>
      </c>
      <c r="B35" s="205"/>
      <c r="C35" s="205"/>
      <c r="D35" s="206"/>
      <c r="E35" s="487" t="s">
        <v>5</v>
      </c>
      <c r="F35" s="48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H38" s="188"/>
    </row>
    <row r="39" spans="1:8" x14ac:dyDescent="0.2">
      <c r="A39" s="187"/>
      <c r="H39" s="188"/>
    </row>
    <row r="40" spans="1:8" ht="15.75" customHeight="1" x14ac:dyDescent="0.2">
      <c r="A40" s="490" t="s">
        <v>21</v>
      </c>
      <c r="B40" s="491"/>
      <c r="C40" s="491"/>
      <c r="D40" s="491"/>
      <c r="E40" s="491"/>
      <c r="F40" s="491" t="s">
        <v>22</v>
      </c>
      <c r="G40" s="491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270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236" t="s">
        <v>271</v>
      </c>
      <c r="G43" s="209" t="s">
        <v>195</v>
      </c>
      <c r="H43" s="238"/>
    </row>
    <row r="44" spans="1:8" x14ac:dyDescent="0.2">
      <c r="A44" s="210"/>
      <c r="G44" s="209" t="s">
        <v>186</v>
      </c>
      <c r="H44" s="188"/>
    </row>
    <row r="45" spans="1:8" x14ac:dyDescent="0.2">
      <c r="A45" s="187"/>
      <c r="H45" s="188"/>
    </row>
    <row r="46" spans="1:8" x14ac:dyDescent="0.2">
      <c r="A46" s="187"/>
      <c r="H46" s="188"/>
    </row>
    <row r="47" spans="1:8" ht="15.75" thickBot="1" x14ac:dyDescent="0.25">
      <c r="A47" s="187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2"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  <mergeCell ref="F28:G28"/>
    <mergeCell ref="F29:G29"/>
    <mergeCell ref="F30:G30"/>
    <mergeCell ref="F31:G31"/>
    <mergeCell ref="A13:F13"/>
    <mergeCell ref="G13:H13"/>
    <mergeCell ref="A25:E25"/>
    <mergeCell ref="F25:G25"/>
    <mergeCell ref="F26:G26"/>
    <mergeCell ref="F27:G27"/>
    <mergeCell ref="A41:E41"/>
    <mergeCell ref="F41:H41"/>
    <mergeCell ref="G48:H48"/>
    <mergeCell ref="E35:G35"/>
    <mergeCell ref="A36:D36"/>
    <mergeCell ref="E36:G36"/>
    <mergeCell ref="A37:E37"/>
    <mergeCell ref="F37:H37"/>
    <mergeCell ref="A40:E40"/>
    <mergeCell ref="F40:H40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793" r:id="rId4" name="Check Box 1">
              <controlPr defaultSize="0" autoFill="0" autoLine="0" autoPict="0">
                <anchor moveWithCells="1">
                  <from>
                    <xdr:col>2</xdr:col>
                    <xdr:colOff>152400</xdr:colOff>
                    <xdr:row>7</xdr:row>
                    <xdr:rowOff>66675</xdr:rowOff>
                  </from>
                  <to>
                    <xdr:col>2</xdr:col>
                    <xdr:colOff>390525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4" r:id="rId5" name="Check Box 2">
              <controlPr defaultSize="0" autoFill="0" autoLine="0" autoPict="0">
                <anchor moveWithCells="1">
                  <from>
                    <xdr:col>4</xdr:col>
                    <xdr:colOff>209550</xdr:colOff>
                    <xdr:row>7</xdr:row>
                    <xdr:rowOff>66675</xdr:rowOff>
                  </from>
                  <to>
                    <xdr:col>4</xdr:col>
                    <xdr:colOff>447675</xdr:colOff>
                    <xdr:row>11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90DD-E305-46DA-BCCB-56A33F0068B6}">
  <sheetPr>
    <pageSetUpPr fitToPage="1"/>
  </sheetPr>
  <dimension ref="A1:E68"/>
  <sheetViews>
    <sheetView workbookViewId="0">
      <selection sqref="A1:XFD1048576"/>
    </sheetView>
  </sheetViews>
  <sheetFormatPr defaultRowHeight="15" x14ac:dyDescent="0.25"/>
  <cols>
    <col min="1" max="1" width="12.5703125" style="269" customWidth="1"/>
    <col min="2" max="2" width="11.140625" style="245" customWidth="1"/>
    <col min="3" max="3" width="35" style="21" customWidth="1"/>
    <col min="4" max="4" width="25.140625" style="246" customWidth="1"/>
    <col min="5" max="5" width="15.28515625" style="270" customWidth="1"/>
  </cols>
  <sheetData>
    <row r="1" spans="1:5" x14ac:dyDescent="0.25">
      <c r="A1" s="239"/>
      <c r="B1" s="240"/>
      <c r="C1" s="241"/>
      <c r="D1" s="242"/>
      <c r="E1" s="243"/>
    </row>
    <row r="2" spans="1:5" x14ac:dyDescent="0.25">
      <c r="A2" s="244"/>
      <c r="E2" s="247"/>
    </row>
    <row r="3" spans="1:5" x14ac:dyDescent="0.25">
      <c r="A3" s="244"/>
      <c r="E3" s="247"/>
    </row>
    <row r="4" spans="1:5" x14ac:dyDescent="0.25">
      <c r="A4" s="244"/>
      <c r="E4" s="247"/>
    </row>
    <row r="5" spans="1:5" x14ac:dyDescent="0.25">
      <c r="A5" s="505" t="s">
        <v>0</v>
      </c>
      <c r="B5" s="506"/>
      <c r="C5" s="506"/>
      <c r="D5" s="506"/>
      <c r="E5" s="507"/>
    </row>
    <row r="6" spans="1:5" x14ac:dyDescent="0.25">
      <c r="A6" s="508" t="s">
        <v>52</v>
      </c>
      <c r="B6" s="509"/>
      <c r="C6" s="509"/>
      <c r="D6" s="509"/>
      <c r="E6" s="510"/>
    </row>
    <row r="7" spans="1:5" x14ac:dyDescent="0.25">
      <c r="A7" s="511" t="s">
        <v>2</v>
      </c>
      <c r="B7" s="512"/>
      <c r="C7" s="512"/>
      <c r="D7" s="512"/>
      <c r="E7" s="513"/>
    </row>
    <row r="8" spans="1:5" x14ac:dyDescent="0.25">
      <c r="A8" s="514" t="s">
        <v>223</v>
      </c>
      <c r="B8" s="515"/>
      <c r="C8" s="515"/>
      <c r="D8" s="515"/>
      <c r="E8" s="516"/>
    </row>
    <row r="9" spans="1:5" x14ac:dyDescent="0.25">
      <c r="A9" s="517"/>
      <c r="B9" s="518"/>
      <c r="C9" s="518"/>
      <c r="D9" s="518"/>
      <c r="E9" s="519"/>
    </row>
    <row r="10" spans="1:5" s="252" customFormat="1" ht="30.75" customHeight="1" x14ac:dyDescent="0.25">
      <c r="A10" s="248" t="s">
        <v>224</v>
      </c>
      <c r="B10" s="249" t="s">
        <v>225</v>
      </c>
      <c r="C10" s="250" t="s">
        <v>189</v>
      </c>
      <c r="D10" s="249" t="s">
        <v>30</v>
      </c>
      <c r="E10" s="251" t="s">
        <v>226</v>
      </c>
    </row>
    <row r="11" spans="1:5" x14ac:dyDescent="0.25">
      <c r="A11" s="239">
        <v>46037</v>
      </c>
      <c r="B11" s="240" t="s">
        <v>227</v>
      </c>
      <c r="C11" s="241" t="s">
        <v>228</v>
      </c>
      <c r="D11" s="273" t="s">
        <v>229</v>
      </c>
      <c r="E11" s="274">
        <v>125</v>
      </c>
    </row>
    <row r="12" spans="1:5" x14ac:dyDescent="0.25">
      <c r="A12" s="244">
        <v>46042</v>
      </c>
      <c r="B12" s="245" t="s">
        <v>230</v>
      </c>
      <c r="C12" s="21" t="s">
        <v>231</v>
      </c>
      <c r="D12" s="253" t="s">
        <v>232</v>
      </c>
      <c r="E12" s="247">
        <v>214</v>
      </c>
    </row>
    <row r="13" spans="1:5" x14ac:dyDescent="0.25">
      <c r="A13" s="244"/>
      <c r="B13" s="245" t="s">
        <v>233</v>
      </c>
      <c r="C13" s="21" t="s">
        <v>234</v>
      </c>
      <c r="D13" s="253" t="s">
        <v>235</v>
      </c>
      <c r="E13" s="247">
        <v>108</v>
      </c>
    </row>
    <row r="14" spans="1:5" x14ac:dyDescent="0.25">
      <c r="A14" s="244">
        <v>46050</v>
      </c>
      <c r="B14" s="245" t="s">
        <v>236</v>
      </c>
      <c r="C14" s="21" t="s">
        <v>237</v>
      </c>
      <c r="D14" s="253" t="s">
        <v>238</v>
      </c>
      <c r="E14" s="247">
        <v>320</v>
      </c>
    </row>
    <row r="15" spans="1:5" x14ac:dyDescent="0.25">
      <c r="A15" s="244">
        <v>46056</v>
      </c>
      <c r="B15" s="245" t="s">
        <v>239</v>
      </c>
      <c r="C15" s="21" t="s">
        <v>240</v>
      </c>
      <c r="D15" s="253" t="s">
        <v>241</v>
      </c>
      <c r="E15" s="247">
        <v>76</v>
      </c>
    </row>
    <row r="16" spans="1:5" x14ac:dyDescent="0.25">
      <c r="A16" s="244">
        <v>46057</v>
      </c>
      <c r="B16" s="245" t="s">
        <v>242</v>
      </c>
      <c r="C16" s="21" t="s">
        <v>243</v>
      </c>
      <c r="D16" s="253" t="s">
        <v>244</v>
      </c>
      <c r="E16" s="247">
        <v>132.5</v>
      </c>
    </row>
    <row r="17" spans="1:5" x14ac:dyDescent="0.25">
      <c r="A17" s="244"/>
      <c r="B17" s="245" t="s">
        <v>245</v>
      </c>
      <c r="C17" s="21" t="s">
        <v>246</v>
      </c>
      <c r="D17" s="253" t="s">
        <v>247</v>
      </c>
      <c r="E17" s="247">
        <v>55</v>
      </c>
    </row>
    <row r="18" spans="1:5" x14ac:dyDescent="0.25">
      <c r="A18" s="244">
        <v>46058</v>
      </c>
      <c r="B18" s="245" t="s">
        <v>248</v>
      </c>
      <c r="C18" s="21" t="s">
        <v>249</v>
      </c>
      <c r="D18" s="253" t="s">
        <v>250</v>
      </c>
      <c r="E18" s="247">
        <v>586.5</v>
      </c>
    </row>
    <row r="19" spans="1:5" x14ac:dyDescent="0.25">
      <c r="A19" s="244"/>
      <c r="B19" s="245" t="s">
        <v>251</v>
      </c>
      <c r="C19" s="21" t="s">
        <v>252</v>
      </c>
      <c r="D19" s="253" t="s">
        <v>253</v>
      </c>
      <c r="E19" s="247">
        <v>610</v>
      </c>
    </row>
    <row r="20" spans="1:5" x14ac:dyDescent="0.25">
      <c r="A20" s="244"/>
      <c r="B20" s="245" t="s">
        <v>254</v>
      </c>
      <c r="C20" s="21" t="s">
        <v>255</v>
      </c>
      <c r="D20" s="246" t="s">
        <v>256</v>
      </c>
      <c r="E20" s="247">
        <v>70</v>
      </c>
    </row>
    <row r="21" spans="1:5" x14ac:dyDescent="0.25">
      <c r="A21" s="244">
        <v>46059</v>
      </c>
      <c r="B21" s="245" t="s">
        <v>257</v>
      </c>
      <c r="C21" s="21" t="s">
        <v>258</v>
      </c>
      <c r="D21" s="253" t="s">
        <v>259</v>
      </c>
      <c r="E21" s="254">
        <v>1391</v>
      </c>
    </row>
    <row r="22" spans="1:5" x14ac:dyDescent="0.25">
      <c r="A22" s="244"/>
      <c r="D22" s="255"/>
      <c r="E22" s="256"/>
    </row>
    <row r="23" spans="1:5" x14ac:dyDescent="0.25">
      <c r="A23" s="244"/>
      <c r="D23" s="255"/>
      <c r="E23" s="256"/>
    </row>
    <row r="24" spans="1:5" x14ac:dyDescent="0.25">
      <c r="A24" s="244"/>
      <c r="D24" s="255"/>
      <c r="E24" s="256"/>
    </row>
    <row r="25" spans="1:5" x14ac:dyDescent="0.25">
      <c r="A25" s="244"/>
      <c r="D25" s="255"/>
      <c r="E25" s="256"/>
    </row>
    <row r="26" spans="1:5" x14ac:dyDescent="0.25">
      <c r="A26" s="244"/>
      <c r="D26" s="255"/>
      <c r="E26" s="256"/>
    </row>
    <row r="27" spans="1:5" x14ac:dyDescent="0.25">
      <c r="A27" s="244"/>
      <c r="D27" s="255"/>
      <c r="E27" s="256"/>
    </row>
    <row r="28" spans="1:5" x14ac:dyDescent="0.25">
      <c r="A28" s="244"/>
      <c r="D28" s="255"/>
      <c r="E28" s="256"/>
    </row>
    <row r="29" spans="1:5" x14ac:dyDescent="0.25">
      <c r="A29" s="244"/>
      <c r="D29" s="255"/>
      <c r="E29" s="256"/>
    </row>
    <row r="30" spans="1:5" x14ac:dyDescent="0.25">
      <c r="A30" s="244"/>
      <c r="D30" s="255"/>
      <c r="E30" s="256"/>
    </row>
    <row r="31" spans="1:5" x14ac:dyDescent="0.25">
      <c r="A31" s="244"/>
      <c r="D31" s="255"/>
      <c r="E31" s="256"/>
    </row>
    <row r="32" spans="1:5" x14ac:dyDescent="0.25">
      <c r="A32" s="244"/>
      <c r="D32" s="255"/>
      <c r="E32" s="256"/>
    </row>
    <row r="33" spans="1:5" x14ac:dyDescent="0.25">
      <c r="A33" s="244"/>
      <c r="E33" s="247"/>
    </row>
    <row r="34" spans="1:5" x14ac:dyDescent="0.25">
      <c r="A34" s="244"/>
      <c r="D34" s="255"/>
      <c r="E34" s="257"/>
    </row>
    <row r="35" spans="1:5" x14ac:dyDescent="0.25">
      <c r="A35" s="244"/>
      <c r="D35" s="255"/>
      <c r="E35" s="257"/>
    </row>
    <row r="36" spans="1:5" x14ac:dyDescent="0.25">
      <c r="A36" s="244"/>
      <c r="D36" s="255"/>
      <c r="E36" s="257"/>
    </row>
    <row r="37" spans="1:5" x14ac:dyDescent="0.25">
      <c r="A37" s="244"/>
      <c r="D37" s="255"/>
      <c r="E37" s="257"/>
    </row>
    <row r="38" spans="1:5" x14ac:dyDescent="0.25">
      <c r="A38" s="244"/>
      <c r="D38" s="255"/>
      <c r="E38" s="257"/>
    </row>
    <row r="39" spans="1:5" x14ac:dyDescent="0.25">
      <c r="A39" s="244"/>
      <c r="D39" s="255"/>
      <c r="E39" s="257"/>
    </row>
    <row r="40" spans="1:5" x14ac:dyDescent="0.25">
      <c r="A40" s="244"/>
      <c r="D40" s="255"/>
      <c r="E40" s="257"/>
    </row>
    <row r="41" spans="1:5" x14ac:dyDescent="0.25">
      <c r="A41" s="244"/>
      <c r="D41" s="255"/>
      <c r="E41" s="257"/>
    </row>
    <row r="42" spans="1:5" x14ac:dyDescent="0.25">
      <c r="A42" s="244"/>
      <c r="D42" s="255"/>
      <c r="E42" s="257"/>
    </row>
    <row r="43" spans="1:5" ht="15.75" x14ac:dyDescent="0.25">
      <c r="A43" s="244"/>
      <c r="D43" s="47" t="s">
        <v>32</v>
      </c>
      <c r="E43" s="258">
        <f>SUM(E11:E21)</f>
        <v>3688</v>
      </c>
    </row>
    <row r="44" spans="1:5" ht="15.75" x14ac:dyDescent="0.25">
      <c r="A44" s="244"/>
      <c r="D44" s="47"/>
      <c r="E44" s="258"/>
    </row>
    <row r="45" spans="1:5" x14ac:dyDescent="0.25">
      <c r="A45" s="244"/>
      <c r="E45" s="247"/>
    </row>
    <row r="46" spans="1:5" x14ac:dyDescent="0.25">
      <c r="A46" s="259"/>
      <c r="B46" s="260"/>
      <c r="C46" s="261"/>
      <c r="D46" s="262"/>
      <c r="E46" s="263"/>
    </row>
    <row r="47" spans="1:5" ht="15.75" x14ac:dyDescent="0.25">
      <c r="A47" s="264" t="s">
        <v>12</v>
      </c>
      <c r="B47" s="265"/>
      <c r="C47" s="201"/>
      <c r="D47" s="266" t="s">
        <v>260</v>
      </c>
      <c r="E47" s="243"/>
    </row>
    <row r="48" spans="1:5" ht="15.75" x14ac:dyDescent="0.25">
      <c r="A48" s="267"/>
      <c r="B48" s="268"/>
      <c r="C48" s="41"/>
      <c r="D48" s="41"/>
      <c r="E48" s="247"/>
    </row>
    <row r="49" spans="1:5" ht="15.75" x14ac:dyDescent="0.25">
      <c r="A49" s="267"/>
      <c r="B49" s="268"/>
      <c r="C49" s="41"/>
      <c r="D49" s="41"/>
      <c r="E49" s="247"/>
    </row>
    <row r="50" spans="1:5" x14ac:dyDescent="0.25">
      <c r="A50" s="520" t="s">
        <v>15</v>
      </c>
      <c r="B50" s="521"/>
      <c r="C50" s="521"/>
      <c r="D50" s="488" t="s">
        <v>5</v>
      </c>
      <c r="E50" s="489"/>
    </row>
    <row r="51" spans="1:5" x14ac:dyDescent="0.25">
      <c r="A51" s="503" t="s">
        <v>17</v>
      </c>
      <c r="B51" s="504"/>
      <c r="C51" s="504"/>
      <c r="D51" s="455" t="s">
        <v>18</v>
      </c>
      <c r="E51" s="456"/>
    </row>
    <row r="52" spans="1:5" x14ac:dyDescent="0.25">
      <c r="A52" s="497" t="s">
        <v>261</v>
      </c>
      <c r="B52" s="495"/>
      <c r="C52" s="495"/>
      <c r="D52" s="495"/>
      <c r="E52" s="496"/>
    </row>
    <row r="53" spans="1:5" ht="15.75" x14ac:dyDescent="0.25">
      <c r="A53" s="267"/>
      <c r="B53" s="268"/>
      <c r="C53" s="41"/>
      <c r="D53" s="41"/>
      <c r="E53" s="188"/>
    </row>
    <row r="54" spans="1:5" ht="15.75" x14ac:dyDescent="0.25">
      <c r="A54" s="267"/>
      <c r="B54" s="268"/>
      <c r="C54" s="41"/>
      <c r="D54" s="41"/>
      <c r="E54" s="188"/>
    </row>
    <row r="55" spans="1:5" x14ac:dyDescent="0.25">
      <c r="A55" s="490" t="s">
        <v>22</v>
      </c>
      <c r="B55" s="491"/>
      <c r="C55" s="491"/>
      <c r="D55" s="491"/>
      <c r="E55" s="492"/>
    </row>
    <row r="56" spans="1:5" x14ac:dyDescent="0.25">
      <c r="A56" s="454" t="s">
        <v>24</v>
      </c>
      <c r="B56" s="455"/>
      <c r="C56" s="455"/>
      <c r="D56" s="455"/>
      <c r="E56" s="456"/>
    </row>
    <row r="61" spans="1:5" x14ac:dyDescent="0.25">
      <c r="C61" s="501"/>
      <c r="D61" s="501"/>
    </row>
    <row r="62" spans="1:5" x14ac:dyDescent="0.25">
      <c r="C62" s="500"/>
      <c r="D62" s="500"/>
    </row>
    <row r="63" spans="1:5" x14ac:dyDescent="0.25">
      <c r="C63" s="271"/>
      <c r="D63" s="253"/>
    </row>
    <row r="67" spans="3:4" x14ac:dyDescent="0.25">
      <c r="C67" s="501"/>
      <c r="D67" s="501"/>
    </row>
    <row r="68" spans="3:4" x14ac:dyDescent="0.25">
      <c r="C68" s="502"/>
      <c r="D68" s="502"/>
    </row>
  </sheetData>
  <mergeCells count="15">
    <mergeCell ref="A5:E5"/>
    <mergeCell ref="A6:E6"/>
    <mergeCell ref="A7:E7"/>
    <mergeCell ref="A8:E9"/>
    <mergeCell ref="A50:C50"/>
    <mergeCell ref="D50:E50"/>
    <mergeCell ref="C62:D62"/>
    <mergeCell ref="C67:D67"/>
    <mergeCell ref="C68:D68"/>
    <mergeCell ref="A51:C51"/>
    <mergeCell ref="D51:E51"/>
    <mergeCell ref="A52:E52"/>
    <mergeCell ref="A55:E55"/>
    <mergeCell ref="A56:E56"/>
    <mergeCell ref="C61:D61"/>
  </mergeCells>
  <pageMargins left="0.7" right="0.7" top="0.75" bottom="0.75" header="0.3" footer="0.3"/>
  <pageSetup paperSize="9" scale="88" fitToHeight="0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1DCB-1F47-4AB4-971F-FB75C8F2D056}">
  <dimension ref="A1:J49"/>
  <sheetViews>
    <sheetView workbookViewId="0">
      <selection sqref="A1:XFD1048576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0.5703125" style="41" customWidth="1"/>
    <col min="7" max="7" width="13.42578125" style="41" customWidth="1"/>
    <col min="8" max="8" width="24.4257812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272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46062</v>
      </c>
      <c r="I10" s="215"/>
    </row>
    <row r="11" spans="1:9" ht="15.75" x14ac:dyDescent="0.25">
      <c r="A11" s="470" t="s">
        <v>187</v>
      </c>
      <c r="B11" s="471"/>
      <c r="C11" s="474" t="s">
        <v>111</v>
      </c>
      <c r="D11" s="474"/>
      <c r="E11" s="474"/>
      <c r="F11" s="464"/>
      <c r="G11" s="447" t="s">
        <v>188</v>
      </c>
      <c r="H11" s="234" t="s">
        <v>273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201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 t="s">
        <v>274</v>
      </c>
      <c r="B15" s="220"/>
      <c r="C15" s="220"/>
      <c r="D15" s="220"/>
      <c r="E15" s="220"/>
      <c r="F15" s="221"/>
      <c r="G15" s="187"/>
      <c r="H15" s="188"/>
    </row>
    <row r="16" spans="1:9" ht="15.75" x14ac:dyDescent="0.2">
      <c r="A16" s="218" t="s">
        <v>208</v>
      </c>
      <c r="B16" s="70"/>
      <c r="C16" s="70"/>
      <c r="D16" s="70"/>
      <c r="E16" s="70"/>
      <c r="F16" s="219"/>
      <c r="G16" s="224"/>
      <c r="H16" s="225">
        <v>1516.97</v>
      </c>
    </row>
    <row r="17" spans="1:10" x14ac:dyDescent="0.2">
      <c r="A17" s="218"/>
      <c r="B17" s="70"/>
      <c r="C17" s="70"/>
      <c r="D17" s="70"/>
      <c r="E17" s="70"/>
      <c r="F17" s="219"/>
      <c r="G17" s="187"/>
      <c r="H17" s="188"/>
    </row>
    <row r="18" spans="1:10" x14ac:dyDescent="0.2">
      <c r="A18" s="187"/>
      <c r="F18" s="188"/>
      <c r="G18" s="187"/>
      <c r="H18" s="188"/>
    </row>
    <row r="19" spans="1:10" x14ac:dyDescent="0.2">
      <c r="A19" s="187"/>
      <c r="F19" s="188"/>
      <c r="G19" s="187"/>
      <c r="H19" s="188"/>
    </row>
    <row r="20" spans="1:10" x14ac:dyDescent="0.2">
      <c r="A20" s="187"/>
      <c r="F20" s="188"/>
      <c r="G20" s="187"/>
      <c r="H20" s="188"/>
    </row>
    <row r="21" spans="1:10" x14ac:dyDescent="0.2">
      <c r="A21" s="192"/>
      <c r="B21" s="193"/>
      <c r="C21" s="193"/>
      <c r="D21" s="193"/>
      <c r="E21" s="193"/>
      <c r="F21" s="194"/>
      <c r="G21" s="192"/>
      <c r="H21" s="194"/>
    </row>
    <row r="22" spans="1:10" ht="15.75" x14ac:dyDescent="0.25">
      <c r="A22" s="477" t="s">
        <v>191</v>
      </c>
      <c r="B22" s="481"/>
      <c r="C22" s="481"/>
      <c r="D22" s="481"/>
      <c r="E22" s="480"/>
      <c r="F22" s="482" t="s">
        <v>192</v>
      </c>
      <c r="G22" s="483"/>
      <c r="H22" s="195" t="s">
        <v>193</v>
      </c>
    </row>
    <row r="23" spans="1:10" x14ac:dyDescent="0.2">
      <c r="A23" s="226" t="s">
        <v>112</v>
      </c>
      <c r="B23" s="197"/>
      <c r="C23" s="197"/>
      <c r="D23" s="197"/>
      <c r="E23" s="197"/>
      <c r="F23" s="484">
        <v>1516.97</v>
      </c>
      <c r="G23" s="484"/>
      <c r="H23" s="276"/>
      <c r="J23" s="41" t="s">
        <v>196</v>
      </c>
    </row>
    <row r="24" spans="1:10" x14ac:dyDescent="0.2">
      <c r="A24" s="196"/>
      <c r="B24" s="231" t="s">
        <v>36</v>
      </c>
      <c r="C24" s="197"/>
      <c r="D24" s="197"/>
      <c r="E24" s="197"/>
      <c r="F24" s="485"/>
      <c r="G24" s="485"/>
      <c r="H24" s="230">
        <f>SUM(F23)</f>
        <v>1516.97</v>
      </c>
    </row>
    <row r="25" spans="1:10" x14ac:dyDescent="0.2">
      <c r="A25" s="196"/>
      <c r="B25" s="197"/>
      <c r="C25" s="197"/>
      <c r="D25" s="197"/>
      <c r="E25" s="197"/>
      <c r="F25" s="486"/>
      <c r="G25" s="486"/>
      <c r="H25" s="227"/>
    </row>
    <row r="26" spans="1:10" x14ac:dyDescent="0.2">
      <c r="A26" s="196"/>
      <c r="B26" s="197"/>
      <c r="C26" s="197"/>
      <c r="D26" s="197"/>
      <c r="E26" s="197"/>
      <c r="F26" s="486"/>
      <c r="G26" s="486"/>
      <c r="H26" s="227"/>
    </row>
    <row r="27" spans="1:10" x14ac:dyDescent="0.2">
      <c r="A27" s="196"/>
      <c r="B27" s="197"/>
      <c r="C27" s="197"/>
      <c r="D27" s="197"/>
      <c r="E27" s="197"/>
      <c r="F27" s="486"/>
      <c r="G27" s="486"/>
      <c r="H27" s="227"/>
    </row>
    <row r="28" spans="1:10" x14ac:dyDescent="0.2">
      <c r="A28" s="196"/>
      <c r="B28" s="197"/>
      <c r="C28" s="197"/>
      <c r="D28" s="197"/>
      <c r="E28" s="199"/>
      <c r="F28" s="486"/>
      <c r="G28" s="486"/>
      <c r="H28" s="227"/>
    </row>
    <row r="29" spans="1:10" x14ac:dyDescent="0.2">
      <c r="A29" s="196"/>
      <c r="B29" s="197"/>
      <c r="C29" s="197"/>
      <c r="D29" s="197"/>
      <c r="E29" s="199"/>
      <c r="F29" s="486"/>
      <c r="G29" s="486"/>
      <c r="H29" s="227"/>
    </row>
    <row r="30" spans="1:10" x14ac:dyDescent="0.2">
      <c r="A30" s="192"/>
      <c r="B30" s="193"/>
      <c r="C30" s="193"/>
      <c r="D30" s="193"/>
      <c r="E30" s="193"/>
      <c r="F30" s="476"/>
      <c r="G30" s="476"/>
      <c r="H30" s="198"/>
    </row>
    <row r="31" spans="1:10" ht="15.75" x14ac:dyDescent="0.25">
      <c r="A31" s="200" t="s">
        <v>12</v>
      </c>
      <c r="B31" s="201"/>
      <c r="C31" s="201"/>
      <c r="D31" s="202"/>
      <c r="E31" s="200" t="s">
        <v>13</v>
      </c>
      <c r="F31" s="201"/>
      <c r="G31" s="202"/>
      <c r="H31" s="203" t="s">
        <v>14</v>
      </c>
    </row>
    <row r="32" spans="1:10" x14ac:dyDescent="0.2">
      <c r="A32" s="187"/>
      <c r="D32" s="188"/>
      <c r="E32" s="187"/>
      <c r="G32" s="188"/>
      <c r="H32" s="204"/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232" t="s">
        <v>15</v>
      </c>
      <c r="B34" s="205"/>
      <c r="C34" s="205"/>
      <c r="D34" s="206"/>
      <c r="E34" s="487" t="s">
        <v>5</v>
      </c>
      <c r="F34" s="488"/>
      <c r="G34" s="489"/>
      <c r="H34" s="233" t="s">
        <v>16</v>
      </c>
    </row>
    <row r="35" spans="1:8" x14ac:dyDescent="0.2">
      <c r="A35" s="454" t="s">
        <v>17</v>
      </c>
      <c r="B35" s="455"/>
      <c r="C35" s="455"/>
      <c r="D35" s="456"/>
      <c r="E35" s="454" t="s">
        <v>18</v>
      </c>
      <c r="F35" s="455"/>
      <c r="G35" s="456"/>
      <c r="H35" s="207" t="s">
        <v>19</v>
      </c>
    </row>
    <row r="36" spans="1:8" ht="15.75" customHeight="1" x14ac:dyDescent="0.2">
      <c r="A36" s="497" t="s">
        <v>203</v>
      </c>
      <c r="B36" s="495"/>
      <c r="C36" s="495"/>
      <c r="D36" s="495"/>
      <c r="E36" s="495"/>
      <c r="F36" s="495" t="s">
        <v>20</v>
      </c>
      <c r="G36" s="495"/>
      <c r="H36" s="496"/>
    </row>
    <row r="37" spans="1:8" x14ac:dyDescent="0.2">
      <c r="A37" s="187"/>
      <c r="H37" s="188"/>
    </row>
    <row r="38" spans="1:8" x14ac:dyDescent="0.2">
      <c r="A38" s="187"/>
      <c r="H38" s="188"/>
    </row>
    <row r="39" spans="1:8" ht="15.75" customHeight="1" x14ac:dyDescent="0.2">
      <c r="A39" s="490" t="s">
        <v>21</v>
      </c>
      <c r="B39" s="491"/>
      <c r="C39" s="491"/>
      <c r="D39" s="491"/>
      <c r="E39" s="491"/>
      <c r="F39" s="491" t="s">
        <v>22</v>
      </c>
      <c r="G39" s="491"/>
      <c r="H39" s="492"/>
    </row>
    <row r="40" spans="1:8" ht="15.75" customHeight="1" x14ac:dyDescent="0.2">
      <c r="A40" s="454" t="s">
        <v>23</v>
      </c>
      <c r="B40" s="455"/>
      <c r="C40" s="455"/>
      <c r="D40" s="455"/>
      <c r="E40" s="455"/>
      <c r="F40" s="455" t="s">
        <v>24</v>
      </c>
      <c r="G40" s="455"/>
      <c r="H40" s="456"/>
    </row>
    <row r="41" spans="1:8" x14ac:dyDescent="0.2">
      <c r="A41" s="208" t="s">
        <v>275</v>
      </c>
      <c r="B41" s="185"/>
      <c r="C41" s="185"/>
      <c r="D41" s="185"/>
      <c r="E41" s="185"/>
      <c r="F41" s="185"/>
      <c r="G41" s="185"/>
      <c r="H41" s="186"/>
    </row>
    <row r="42" spans="1:8" x14ac:dyDescent="0.2">
      <c r="A42" s="237" t="s">
        <v>276</v>
      </c>
      <c r="G42" s="209" t="s">
        <v>195</v>
      </c>
      <c r="H42" s="238"/>
    </row>
    <row r="43" spans="1:8" x14ac:dyDescent="0.2">
      <c r="A43" s="210"/>
      <c r="G43" s="209" t="s">
        <v>186</v>
      </c>
      <c r="H43" s="188"/>
    </row>
    <row r="44" spans="1:8" x14ac:dyDescent="0.2">
      <c r="A44" s="187"/>
      <c r="H44" s="188"/>
    </row>
    <row r="45" spans="1:8" x14ac:dyDescent="0.2">
      <c r="A45" s="187"/>
      <c r="H45" s="188"/>
    </row>
    <row r="46" spans="1:8" ht="15.75" thickBot="1" x14ac:dyDescent="0.25">
      <c r="A46" s="187"/>
      <c r="G46" s="211"/>
      <c r="H46" s="212"/>
    </row>
    <row r="47" spans="1:8" x14ac:dyDescent="0.2">
      <c r="A47" s="187"/>
      <c r="G47" s="493" t="s">
        <v>26</v>
      </c>
      <c r="H47" s="494"/>
    </row>
    <row r="48" spans="1:8" x14ac:dyDescent="0.2">
      <c r="A48" s="192"/>
      <c r="B48" s="193"/>
      <c r="C48" s="193"/>
      <c r="D48" s="193"/>
      <c r="E48" s="193"/>
      <c r="F48" s="193"/>
      <c r="G48" s="193"/>
      <c r="H48" s="194"/>
    </row>
    <row r="49" spans="1:1" x14ac:dyDescent="0.2">
      <c r="A49" s="185"/>
    </row>
  </sheetData>
  <mergeCells count="34"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  <mergeCell ref="F30:G30"/>
    <mergeCell ref="A13:F13"/>
    <mergeCell ref="G13:H13"/>
    <mergeCell ref="A22:E22"/>
    <mergeCell ref="F22:G22"/>
    <mergeCell ref="F23:G23"/>
    <mergeCell ref="F24:G24"/>
    <mergeCell ref="F25:G25"/>
    <mergeCell ref="F26:G26"/>
    <mergeCell ref="F27:G27"/>
    <mergeCell ref="F28:G28"/>
    <mergeCell ref="F29:G29"/>
    <mergeCell ref="A40:E40"/>
    <mergeCell ref="F40:H40"/>
    <mergeCell ref="G47:H47"/>
    <mergeCell ref="E34:G34"/>
    <mergeCell ref="A35:D35"/>
    <mergeCell ref="E35:G35"/>
    <mergeCell ref="A36:E36"/>
    <mergeCell ref="F36:H36"/>
    <mergeCell ref="A39:E39"/>
    <mergeCell ref="F39:H39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5841" r:id="rId4" name="Check Box 1">
              <controlPr defaultSize="0" autoFill="0" autoLine="0" autoPict="0">
                <anchor moveWithCells="1">
                  <from>
                    <xdr:col>2</xdr:col>
                    <xdr:colOff>152400</xdr:colOff>
                    <xdr:row>7</xdr:row>
                    <xdr:rowOff>180975</xdr:rowOff>
                  </from>
                  <to>
                    <xdr:col>2</xdr:col>
                    <xdr:colOff>390525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2" r:id="rId5" name="Check Box 2">
              <controlPr defaultSize="0" autoFill="0" autoLine="0" autoPict="0">
                <anchor moveWithCells="1">
                  <from>
                    <xdr:col>4</xdr:col>
                    <xdr:colOff>209550</xdr:colOff>
                    <xdr:row>7</xdr:row>
                    <xdr:rowOff>180975</xdr:rowOff>
                  </from>
                  <to>
                    <xdr:col>4</xdr:col>
                    <xdr:colOff>447675</xdr:colOff>
                    <xdr:row>10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C442-4A94-4451-B2B8-DCCF4F228DBD}">
  <dimension ref="A1:J49"/>
  <sheetViews>
    <sheetView workbookViewId="0">
      <selection sqref="A1:XFD1048576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0.5703125" style="41" customWidth="1"/>
    <col min="7" max="7" width="13.42578125" style="41" customWidth="1"/>
    <col min="8" max="8" width="24.4257812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279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46062</v>
      </c>
      <c r="I10" s="215"/>
    </row>
    <row r="11" spans="1:9" ht="15.75" x14ac:dyDescent="0.25">
      <c r="A11" s="470" t="s">
        <v>187</v>
      </c>
      <c r="B11" s="471"/>
      <c r="C11" s="474" t="s">
        <v>277</v>
      </c>
      <c r="D11" s="474"/>
      <c r="E11" s="474"/>
      <c r="F11" s="464"/>
      <c r="G11" s="447" t="s">
        <v>188</v>
      </c>
      <c r="H11" s="234" t="s">
        <v>278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201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 t="s">
        <v>280</v>
      </c>
      <c r="B15" s="220"/>
      <c r="C15" s="220"/>
      <c r="D15" s="220"/>
      <c r="E15" s="220"/>
      <c r="F15" s="221"/>
      <c r="G15" s="187"/>
      <c r="H15" s="188"/>
    </row>
    <row r="16" spans="1:9" ht="15.75" x14ac:dyDescent="0.2">
      <c r="A16" s="218" t="s">
        <v>281</v>
      </c>
      <c r="B16" s="70"/>
      <c r="C16" s="70"/>
      <c r="D16" s="70"/>
      <c r="E16" s="70"/>
      <c r="F16" s="219"/>
      <c r="G16" s="224"/>
      <c r="H16" s="225">
        <v>1440</v>
      </c>
    </row>
    <row r="17" spans="1:10" ht="15.75" x14ac:dyDescent="0.25">
      <c r="A17" s="280" t="s">
        <v>282</v>
      </c>
      <c r="B17" s="70"/>
      <c r="C17" s="70"/>
      <c r="D17" s="70"/>
      <c r="E17" s="70"/>
      <c r="F17" s="219"/>
      <c r="G17" s="187"/>
      <c r="H17" s="188"/>
    </row>
    <row r="18" spans="1:10" x14ac:dyDescent="0.2">
      <c r="A18" s="218" t="s">
        <v>283</v>
      </c>
      <c r="F18" s="188"/>
      <c r="G18" s="187"/>
      <c r="H18" s="188"/>
    </row>
    <row r="19" spans="1:10" x14ac:dyDescent="0.2">
      <c r="A19" s="187"/>
      <c r="F19" s="188"/>
      <c r="G19" s="187"/>
      <c r="H19" s="188"/>
    </row>
    <row r="20" spans="1:10" x14ac:dyDescent="0.2">
      <c r="A20" s="187"/>
      <c r="F20" s="188"/>
      <c r="G20" s="187"/>
      <c r="H20" s="188"/>
    </row>
    <row r="21" spans="1:10" x14ac:dyDescent="0.2">
      <c r="A21" s="192"/>
      <c r="B21" s="193"/>
      <c r="C21" s="193"/>
      <c r="D21" s="193"/>
      <c r="E21" s="193"/>
      <c r="F21" s="194"/>
      <c r="G21" s="192"/>
      <c r="H21" s="194"/>
    </row>
    <row r="22" spans="1:10" ht="15.75" x14ac:dyDescent="0.25">
      <c r="A22" s="477" t="s">
        <v>191</v>
      </c>
      <c r="B22" s="481"/>
      <c r="C22" s="481"/>
      <c r="D22" s="481"/>
      <c r="E22" s="480"/>
      <c r="F22" s="482" t="s">
        <v>192</v>
      </c>
      <c r="G22" s="483"/>
      <c r="H22" s="195" t="s">
        <v>193</v>
      </c>
    </row>
    <row r="23" spans="1:10" x14ac:dyDescent="0.2">
      <c r="A23" s="226" t="s">
        <v>284</v>
      </c>
      <c r="B23" s="197"/>
      <c r="C23" s="197"/>
      <c r="D23" s="197"/>
      <c r="E23" s="197"/>
      <c r="F23" s="484">
        <v>1440</v>
      </c>
      <c r="G23" s="484"/>
      <c r="H23" s="276"/>
      <c r="J23" s="41" t="s">
        <v>196</v>
      </c>
    </row>
    <row r="24" spans="1:10" x14ac:dyDescent="0.2">
      <c r="A24" s="196"/>
      <c r="B24" s="231" t="s">
        <v>11</v>
      </c>
      <c r="C24" s="197"/>
      <c r="D24" s="197"/>
      <c r="E24" s="197"/>
      <c r="F24" s="485"/>
      <c r="G24" s="485"/>
      <c r="H24" s="230">
        <f>SUM(F23)</f>
        <v>1440</v>
      </c>
    </row>
    <row r="25" spans="1:10" x14ac:dyDescent="0.2">
      <c r="A25" s="196"/>
      <c r="B25" s="197"/>
      <c r="C25" s="197"/>
      <c r="D25" s="197"/>
      <c r="E25" s="197"/>
      <c r="F25" s="486"/>
      <c r="G25" s="486"/>
      <c r="H25" s="227"/>
    </row>
    <row r="26" spans="1:10" x14ac:dyDescent="0.2">
      <c r="A26" s="196"/>
      <c r="B26" s="197"/>
      <c r="C26" s="197"/>
      <c r="D26" s="197"/>
      <c r="E26" s="197"/>
      <c r="F26" s="486"/>
      <c r="G26" s="486"/>
      <c r="H26" s="227"/>
    </row>
    <row r="27" spans="1:10" x14ac:dyDescent="0.2">
      <c r="A27" s="196"/>
      <c r="B27" s="197"/>
      <c r="C27" s="197"/>
      <c r="D27" s="197"/>
      <c r="E27" s="197"/>
      <c r="F27" s="486"/>
      <c r="G27" s="486"/>
      <c r="H27" s="227"/>
    </row>
    <row r="28" spans="1:10" x14ac:dyDescent="0.2">
      <c r="A28" s="196"/>
      <c r="B28" s="197"/>
      <c r="C28" s="197"/>
      <c r="D28" s="197"/>
      <c r="E28" s="199"/>
      <c r="F28" s="486"/>
      <c r="G28" s="486"/>
      <c r="H28" s="227"/>
    </row>
    <row r="29" spans="1:10" x14ac:dyDescent="0.2">
      <c r="A29" s="196"/>
      <c r="B29" s="197"/>
      <c r="C29" s="197"/>
      <c r="D29" s="197"/>
      <c r="E29" s="199"/>
      <c r="F29" s="486"/>
      <c r="G29" s="486"/>
      <c r="H29" s="227"/>
    </row>
    <row r="30" spans="1:10" x14ac:dyDescent="0.2">
      <c r="A30" s="192"/>
      <c r="B30" s="193"/>
      <c r="C30" s="193"/>
      <c r="D30" s="193"/>
      <c r="E30" s="193"/>
      <c r="F30" s="476"/>
      <c r="G30" s="476"/>
      <c r="H30" s="198"/>
    </row>
    <row r="31" spans="1:10" ht="15.75" x14ac:dyDescent="0.25">
      <c r="A31" s="200" t="s">
        <v>12</v>
      </c>
      <c r="B31" s="201"/>
      <c r="C31" s="201"/>
      <c r="D31" s="202"/>
      <c r="E31" s="200" t="s">
        <v>13</v>
      </c>
      <c r="F31" s="201"/>
      <c r="G31" s="202"/>
      <c r="H31" s="203" t="s">
        <v>14</v>
      </c>
    </row>
    <row r="32" spans="1:10" x14ac:dyDescent="0.2">
      <c r="A32" s="187"/>
      <c r="D32" s="188"/>
      <c r="E32" s="187"/>
      <c r="G32" s="188"/>
      <c r="H32" s="204"/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232" t="s">
        <v>15</v>
      </c>
      <c r="B34" s="205"/>
      <c r="C34" s="205"/>
      <c r="D34" s="206"/>
      <c r="E34" s="487" t="s">
        <v>5</v>
      </c>
      <c r="F34" s="488"/>
      <c r="G34" s="489"/>
      <c r="H34" s="233" t="s">
        <v>16</v>
      </c>
    </row>
    <row r="35" spans="1:8" x14ac:dyDescent="0.2">
      <c r="A35" s="454" t="s">
        <v>17</v>
      </c>
      <c r="B35" s="455"/>
      <c r="C35" s="455"/>
      <c r="D35" s="456"/>
      <c r="E35" s="454" t="s">
        <v>18</v>
      </c>
      <c r="F35" s="455"/>
      <c r="G35" s="456"/>
      <c r="H35" s="207" t="s">
        <v>19</v>
      </c>
    </row>
    <row r="36" spans="1:8" ht="15.75" customHeight="1" x14ac:dyDescent="0.2">
      <c r="A36" s="497" t="s">
        <v>203</v>
      </c>
      <c r="B36" s="495"/>
      <c r="C36" s="495"/>
      <c r="D36" s="495"/>
      <c r="E36" s="495"/>
      <c r="F36" s="495" t="s">
        <v>20</v>
      </c>
      <c r="G36" s="495"/>
      <c r="H36" s="496"/>
    </row>
    <row r="37" spans="1:8" x14ac:dyDescent="0.2">
      <c r="A37" s="187"/>
      <c r="H37" s="188"/>
    </row>
    <row r="38" spans="1:8" x14ac:dyDescent="0.2">
      <c r="A38" s="187"/>
      <c r="H38" s="188"/>
    </row>
    <row r="39" spans="1:8" ht="15.75" customHeight="1" x14ac:dyDescent="0.2">
      <c r="A39" s="490" t="s">
        <v>21</v>
      </c>
      <c r="B39" s="491"/>
      <c r="C39" s="491"/>
      <c r="D39" s="491"/>
      <c r="E39" s="491"/>
      <c r="F39" s="491" t="s">
        <v>22</v>
      </c>
      <c r="G39" s="491"/>
      <c r="H39" s="492"/>
    </row>
    <row r="40" spans="1:8" ht="15.75" customHeight="1" x14ac:dyDescent="0.2">
      <c r="A40" s="454" t="s">
        <v>23</v>
      </c>
      <c r="B40" s="455"/>
      <c r="C40" s="455"/>
      <c r="D40" s="455"/>
      <c r="E40" s="455"/>
      <c r="F40" s="455" t="s">
        <v>24</v>
      </c>
      <c r="G40" s="455"/>
      <c r="H40" s="456"/>
    </row>
    <row r="41" spans="1:8" x14ac:dyDescent="0.2">
      <c r="A41" s="208" t="s">
        <v>285</v>
      </c>
      <c r="B41" s="185"/>
      <c r="C41" s="185"/>
      <c r="D41" s="185"/>
      <c r="E41" s="185"/>
      <c r="F41" s="185"/>
      <c r="G41" s="185"/>
      <c r="H41" s="186"/>
    </row>
    <row r="42" spans="1:8" x14ac:dyDescent="0.2">
      <c r="A42" s="237" t="s">
        <v>286</v>
      </c>
      <c r="G42" s="209" t="s">
        <v>195</v>
      </c>
      <c r="H42" s="238"/>
    </row>
    <row r="43" spans="1:8" x14ac:dyDescent="0.2">
      <c r="A43" s="210"/>
      <c r="G43" s="209" t="s">
        <v>186</v>
      </c>
      <c r="H43" s="188"/>
    </row>
    <row r="44" spans="1:8" x14ac:dyDescent="0.2">
      <c r="A44" s="187"/>
      <c r="H44" s="188"/>
    </row>
    <row r="45" spans="1:8" x14ac:dyDescent="0.2">
      <c r="A45" s="187"/>
      <c r="H45" s="188"/>
    </row>
    <row r="46" spans="1:8" ht="15.75" thickBot="1" x14ac:dyDescent="0.25">
      <c r="A46" s="187"/>
      <c r="G46" s="211"/>
      <c r="H46" s="212"/>
    </row>
    <row r="47" spans="1:8" x14ac:dyDescent="0.2">
      <c r="A47" s="187"/>
      <c r="G47" s="493" t="s">
        <v>26</v>
      </c>
      <c r="H47" s="494"/>
    </row>
    <row r="48" spans="1:8" x14ac:dyDescent="0.2">
      <c r="A48" s="192"/>
      <c r="B48" s="193"/>
      <c r="C48" s="193"/>
      <c r="D48" s="193"/>
      <c r="E48" s="193"/>
      <c r="F48" s="193"/>
      <c r="G48" s="193"/>
      <c r="H48" s="194"/>
    </row>
    <row r="49" spans="1:1" x14ac:dyDescent="0.2">
      <c r="A49" s="185"/>
    </row>
  </sheetData>
  <mergeCells count="34"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  <mergeCell ref="F30:G30"/>
    <mergeCell ref="A13:F13"/>
    <mergeCell ref="G13:H13"/>
    <mergeCell ref="A22:E22"/>
    <mergeCell ref="F22:G22"/>
    <mergeCell ref="F23:G23"/>
    <mergeCell ref="F24:G24"/>
    <mergeCell ref="F25:G25"/>
    <mergeCell ref="F26:G26"/>
    <mergeCell ref="F27:G27"/>
    <mergeCell ref="F28:G28"/>
    <mergeCell ref="F29:G29"/>
    <mergeCell ref="A40:E40"/>
    <mergeCell ref="F40:H40"/>
    <mergeCell ref="G47:H47"/>
    <mergeCell ref="E34:G34"/>
    <mergeCell ref="A35:D35"/>
    <mergeCell ref="E35:G35"/>
    <mergeCell ref="A36:E36"/>
    <mergeCell ref="F36:H36"/>
    <mergeCell ref="A39:E39"/>
    <mergeCell ref="F39:H39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6865" r:id="rId4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7</xdr:row>
                    <xdr:rowOff>66675</xdr:rowOff>
                  </from>
                  <to>
                    <xdr:col>2</xdr:col>
                    <xdr:colOff>381000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66" r:id="rId5" name="Check Box 2">
              <controlPr defaultSize="0" autoFill="0" autoLine="0" autoPict="0">
                <anchor moveWithCells="1">
                  <from>
                    <xdr:col>4</xdr:col>
                    <xdr:colOff>228600</xdr:colOff>
                    <xdr:row>7</xdr:row>
                    <xdr:rowOff>66675</xdr:rowOff>
                  </from>
                  <to>
                    <xdr:col>4</xdr:col>
                    <xdr:colOff>466725</xdr:colOff>
                    <xdr:row>11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197FC-287E-4098-B1C8-26895F3BB424}">
  <dimension ref="A1:J49"/>
  <sheetViews>
    <sheetView workbookViewId="0">
      <selection sqref="A1:XFD1048576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0.5703125" style="41" customWidth="1"/>
    <col min="7" max="7" width="13.42578125" style="41" customWidth="1"/>
    <col min="8" max="8" width="24.4257812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287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46062</v>
      </c>
      <c r="I10" s="215"/>
    </row>
    <row r="11" spans="1:9" ht="15.75" x14ac:dyDescent="0.25">
      <c r="A11" s="470" t="s">
        <v>187</v>
      </c>
      <c r="B11" s="471"/>
      <c r="C11" s="474" t="s">
        <v>215</v>
      </c>
      <c r="D11" s="474"/>
      <c r="E11" s="474"/>
      <c r="F11" s="464"/>
      <c r="G11" s="447" t="s">
        <v>188</v>
      </c>
      <c r="H11" s="234" t="s">
        <v>216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217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 t="s">
        <v>296</v>
      </c>
      <c r="B15" s="220"/>
      <c r="C15" s="220"/>
      <c r="D15" s="220"/>
      <c r="E15" s="220"/>
      <c r="F15" s="221"/>
      <c r="G15" s="187"/>
      <c r="H15" s="188"/>
    </row>
    <row r="16" spans="1:9" ht="15.75" x14ac:dyDescent="0.2">
      <c r="A16" s="218" t="s">
        <v>297</v>
      </c>
      <c r="B16" s="70"/>
      <c r="C16" s="70"/>
      <c r="D16" s="70"/>
      <c r="E16" s="70"/>
      <c r="F16" s="219"/>
      <c r="G16" s="224"/>
      <c r="H16" s="225">
        <v>2418</v>
      </c>
    </row>
    <row r="17" spans="1:10" ht="15.75" x14ac:dyDescent="0.25">
      <c r="A17" s="280" t="s">
        <v>298</v>
      </c>
      <c r="B17" s="70"/>
      <c r="C17" s="70"/>
      <c r="D17" s="70"/>
      <c r="E17" s="70"/>
      <c r="F17" s="219"/>
      <c r="G17" s="187"/>
      <c r="H17" s="188"/>
    </row>
    <row r="18" spans="1:10" x14ac:dyDescent="0.2">
      <c r="A18" s="218" t="s">
        <v>299</v>
      </c>
      <c r="F18" s="188"/>
      <c r="G18" s="187"/>
      <c r="H18" s="188"/>
    </row>
    <row r="19" spans="1:10" x14ac:dyDescent="0.2">
      <c r="A19" s="187"/>
      <c r="F19" s="188"/>
      <c r="G19" s="187"/>
      <c r="H19" s="188"/>
    </row>
    <row r="20" spans="1:10" x14ac:dyDescent="0.2">
      <c r="A20" s="187"/>
      <c r="F20" s="188"/>
      <c r="G20" s="187"/>
      <c r="H20" s="188"/>
    </row>
    <row r="21" spans="1:10" x14ac:dyDescent="0.2">
      <c r="A21" s="192"/>
      <c r="B21" s="193"/>
      <c r="C21" s="193"/>
      <c r="D21" s="193"/>
      <c r="E21" s="193"/>
      <c r="F21" s="194"/>
      <c r="G21" s="192"/>
      <c r="H21" s="194"/>
    </row>
    <row r="22" spans="1:10" ht="15.75" x14ac:dyDescent="0.25">
      <c r="A22" s="477" t="s">
        <v>191</v>
      </c>
      <c r="B22" s="481"/>
      <c r="C22" s="481"/>
      <c r="D22" s="481"/>
      <c r="E22" s="480"/>
      <c r="F22" s="482" t="s">
        <v>192</v>
      </c>
      <c r="G22" s="483"/>
      <c r="H22" s="195" t="s">
        <v>193</v>
      </c>
    </row>
    <row r="23" spans="1:10" x14ac:dyDescent="0.2">
      <c r="A23" s="281" t="s">
        <v>288</v>
      </c>
      <c r="B23" s="197"/>
      <c r="C23" s="197"/>
      <c r="D23" s="197"/>
      <c r="E23" s="197"/>
      <c r="F23" s="484">
        <v>2418</v>
      </c>
      <c r="G23" s="484"/>
      <c r="H23" s="276"/>
      <c r="J23" s="41" t="s">
        <v>196</v>
      </c>
    </row>
    <row r="24" spans="1:10" x14ac:dyDescent="0.2">
      <c r="A24" s="196"/>
      <c r="B24" s="282" t="s">
        <v>11</v>
      </c>
      <c r="C24" s="197"/>
      <c r="D24" s="197"/>
      <c r="E24" s="197"/>
      <c r="F24" s="485"/>
      <c r="G24" s="485"/>
      <c r="H24" s="230">
        <f>SUM(F23)</f>
        <v>2418</v>
      </c>
    </row>
    <row r="25" spans="1:10" x14ac:dyDescent="0.2">
      <c r="A25" s="196"/>
      <c r="B25" s="197"/>
      <c r="C25" s="197"/>
      <c r="D25" s="197"/>
      <c r="E25" s="197"/>
      <c r="F25" s="486"/>
      <c r="G25" s="486"/>
      <c r="H25" s="227"/>
    </row>
    <row r="26" spans="1:10" x14ac:dyDescent="0.2">
      <c r="A26" s="196"/>
      <c r="B26" s="197"/>
      <c r="C26" s="197"/>
      <c r="D26" s="197"/>
      <c r="E26" s="197"/>
      <c r="F26" s="486"/>
      <c r="G26" s="486"/>
      <c r="H26" s="227"/>
    </row>
    <row r="27" spans="1:10" x14ac:dyDescent="0.2">
      <c r="A27" s="196"/>
      <c r="B27" s="197"/>
      <c r="C27" s="197"/>
      <c r="D27" s="197"/>
      <c r="E27" s="197"/>
      <c r="F27" s="486"/>
      <c r="G27" s="486"/>
      <c r="H27" s="227"/>
    </row>
    <row r="28" spans="1:10" x14ac:dyDescent="0.2">
      <c r="A28" s="196"/>
      <c r="B28" s="197"/>
      <c r="C28" s="197"/>
      <c r="D28" s="197"/>
      <c r="E28" s="199"/>
      <c r="F28" s="486"/>
      <c r="G28" s="486"/>
      <c r="H28" s="227"/>
    </row>
    <row r="29" spans="1:10" x14ac:dyDescent="0.2">
      <c r="A29" s="196"/>
      <c r="B29" s="197"/>
      <c r="C29" s="197"/>
      <c r="D29" s="197"/>
      <c r="E29" s="199"/>
      <c r="F29" s="486"/>
      <c r="G29" s="486"/>
      <c r="H29" s="227"/>
    </row>
    <row r="30" spans="1:10" x14ac:dyDescent="0.2">
      <c r="A30" s="192"/>
      <c r="B30" s="193"/>
      <c r="C30" s="193"/>
      <c r="D30" s="193"/>
      <c r="E30" s="193"/>
      <c r="F30" s="476"/>
      <c r="G30" s="476"/>
      <c r="H30" s="198"/>
    </row>
    <row r="31" spans="1:10" ht="15.75" x14ac:dyDescent="0.25">
      <c r="A31" s="200" t="s">
        <v>12</v>
      </c>
      <c r="B31" s="201"/>
      <c r="C31" s="201"/>
      <c r="D31" s="202"/>
      <c r="E31" s="200" t="s">
        <v>13</v>
      </c>
      <c r="F31" s="201"/>
      <c r="G31" s="202"/>
      <c r="H31" s="203" t="s">
        <v>14</v>
      </c>
    </row>
    <row r="32" spans="1:10" x14ac:dyDescent="0.2">
      <c r="A32" s="187"/>
      <c r="D32" s="188"/>
      <c r="E32" s="187"/>
      <c r="G32" s="188"/>
      <c r="H32" s="204"/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232" t="s">
        <v>15</v>
      </c>
      <c r="B34" s="205"/>
      <c r="C34" s="205"/>
      <c r="D34" s="206"/>
      <c r="E34" s="487" t="s">
        <v>5</v>
      </c>
      <c r="F34" s="488"/>
      <c r="G34" s="489"/>
      <c r="H34" s="233" t="s">
        <v>16</v>
      </c>
    </row>
    <row r="35" spans="1:8" x14ac:dyDescent="0.2">
      <c r="A35" s="454" t="s">
        <v>17</v>
      </c>
      <c r="B35" s="455"/>
      <c r="C35" s="455"/>
      <c r="D35" s="456"/>
      <c r="E35" s="454" t="s">
        <v>18</v>
      </c>
      <c r="F35" s="455"/>
      <c r="G35" s="456"/>
      <c r="H35" s="207" t="s">
        <v>19</v>
      </c>
    </row>
    <row r="36" spans="1:8" ht="15.75" customHeight="1" x14ac:dyDescent="0.2">
      <c r="A36" s="497" t="s">
        <v>203</v>
      </c>
      <c r="B36" s="495"/>
      <c r="C36" s="495"/>
      <c r="D36" s="495"/>
      <c r="E36" s="495"/>
      <c r="F36" s="495" t="s">
        <v>20</v>
      </c>
      <c r="G36" s="495"/>
      <c r="H36" s="496"/>
    </row>
    <row r="37" spans="1:8" x14ac:dyDescent="0.2">
      <c r="A37" s="187"/>
      <c r="H37" s="188"/>
    </row>
    <row r="38" spans="1:8" x14ac:dyDescent="0.2">
      <c r="A38" s="187"/>
      <c r="H38" s="188"/>
    </row>
    <row r="39" spans="1:8" ht="15.75" customHeight="1" x14ac:dyDescent="0.2">
      <c r="A39" s="490" t="s">
        <v>21</v>
      </c>
      <c r="B39" s="491"/>
      <c r="C39" s="491"/>
      <c r="D39" s="491"/>
      <c r="E39" s="491"/>
      <c r="F39" s="491" t="s">
        <v>22</v>
      </c>
      <c r="G39" s="491"/>
      <c r="H39" s="492"/>
    </row>
    <row r="40" spans="1:8" ht="15.75" customHeight="1" x14ac:dyDescent="0.2">
      <c r="A40" s="454" t="s">
        <v>23</v>
      </c>
      <c r="B40" s="455"/>
      <c r="C40" s="455"/>
      <c r="D40" s="455"/>
      <c r="E40" s="455"/>
      <c r="F40" s="455" t="s">
        <v>24</v>
      </c>
      <c r="G40" s="455"/>
      <c r="H40" s="456"/>
    </row>
    <row r="41" spans="1:8" x14ac:dyDescent="0.2">
      <c r="A41" s="208" t="s">
        <v>300</v>
      </c>
      <c r="B41" s="185"/>
      <c r="C41" s="185"/>
      <c r="D41" s="185"/>
      <c r="E41" s="185"/>
      <c r="F41" s="185"/>
      <c r="G41" s="185"/>
      <c r="H41" s="186"/>
    </row>
    <row r="42" spans="1:8" x14ac:dyDescent="0.2">
      <c r="A42" s="237" t="s">
        <v>301</v>
      </c>
      <c r="G42" s="209" t="s">
        <v>195</v>
      </c>
      <c r="H42" s="238"/>
    </row>
    <row r="43" spans="1:8" x14ac:dyDescent="0.2">
      <c r="A43" s="210"/>
      <c r="G43" s="209" t="s">
        <v>186</v>
      </c>
      <c r="H43" s="188"/>
    </row>
    <row r="44" spans="1:8" x14ac:dyDescent="0.2">
      <c r="A44" s="187"/>
      <c r="H44" s="188"/>
    </row>
    <row r="45" spans="1:8" x14ac:dyDescent="0.2">
      <c r="A45" s="187"/>
      <c r="H45" s="188"/>
    </row>
    <row r="46" spans="1:8" ht="15.75" thickBot="1" x14ac:dyDescent="0.25">
      <c r="A46" s="187"/>
      <c r="G46" s="211"/>
      <c r="H46" s="212"/>
    </row>
    <row r="47" spans="1:8" x14ac:dyDescent="0.2">
      <c r="A47" s="187"/>
      <c r="G47" s="493" t="s">
        <v>26</v>
      </c>
      <c r="H47" s="494"/>
    </row>
    <row r="48" spans="1:8" x14ac:dyDescent="0.2">
      <c r="A48" s="192"/>
      <c r="B48" s="193"/>
      <c r="C48" s="193"/>
      <c r="D48" s="193"/>
      <c r="E48" s="193"/>
      <c r="F48" s="193"/>
      <c r="G48" s="193"/>
      <c r="H48" s="194"/>
    </row>
    <row r="49" spans="1:1" x14ac:dyDescent="0.2">
      <c r="A49" s="185"/>
    </row>
  </sheetData>
  <mergeCells count="34"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  <mergeCell ref="F30:G30"/>
    <mergeCell ref="A13:F13"/>
    <mergeCell ref="G13:H13"/>
    <mergeCell ref="A22:E22"/>
    <mergeCell ref="F22:G22"/>
    <mergeCell ref="F23:G23"/>
    <mergeCell ref="F24:G24"/>
    <mergeCell ref="F25:G25"/>
    <mergeCell ref="F26:G26"/>
    <mergeCell ref="F27:G27"/>
    <mergeCell ref="F28:G28"/>
    <mergeCell ref="F29:G29"/>
    <mergeCell ref="A40:E40"/>
    <mergeCell ref="F40:H40"/>
    <mergeCell ref="G47:H47"/>
    <mergeCell ref="E34:G34"/>
    <mergeCell ref="A35:D35"/>
    <mergeCell ref="E35:G35"/>
    <mergeCell ref="A36:E36"/>
    <mergeCell ref="F36:H36"/>
    <mergeCell ref="A39:E39"/>
    <mergeCell ref="F39:H39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2225" r:id="rId4" name="Check Box 1">
              <controlPr defaultSize="0" autoFill="0" autoLine="0" autoPict="0">
                <anchor moveWithCells="1">
                  <from>
                    <xdr:col>2</xdr:col>
                    <xdr:colOff>133350</xdr:colOff>
                    <xdr:row>6</xdr:row>
                    <xdr:rowOff>161925</xdr:rowOff>
                  </from>
                  <to>
                    <xdr:col>2</xdr:col>
                    <xdr:colOff>371475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2226" r:id="rId5" name="Check Box 2">
              <controlPr defaultSize="0" autoFill="0" autoLine="0" autoPict="0">
                <anchor moveWithCells="1">
                  <from>
                    <xdr:col>4</xdr:col>
                    <xdr:colOff>219075</xdr:colOff>
                    <xdr:row>6</xdr:row>
                    <xdr:rowOff>161925</xdr:rowOff>
                  </from>
                  <to>
                    <xdr:col>4</xdr:col>
                    <xdr:colOff>457200</xdr:colOff>
                    <xdr:row>12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1A49-2AE2-4BA5-87E3-735B52AA5B70}">
  <sheetPr>
    <pageSetUpPr fitToPage="1"/>
  </sheetPr>
  <dimension ref="A1:D66"/>
  <sheetViews>
    <sheetView workbookViewId="0">
      <selection activeCell="K44" sqref="K44"/>
    </sheetView>
  </sheetViews>
  <sheetFormatPr defaultRowHeight="15" x14ac:dyDescent="0.25"/>
  <cols>
    <col min="1" max="1" width="12.5703125" style="269" customWidth="1"/>
    <col min="2" max="2" width="35" style="21" customWidth="1"/>
    <col min="3" max="3" width="25.140625" style="278" customWidth="1"/>
    <col min="4" max="4" width="24.5703125" style="270" customWidth="1"/>
  </cols>
  <sheetData>
    <row r="1" spans="1:4" x14ac:dyDescent="0.25">
      <c r="A1" s="239"/>
      <c r="B1" s="241"/>
      <c r="C1" s="242"/>
      <c r="D1" s="243"/>
    </row>
    <row r="2" spans="1:4" x14ac:dyDescent="0.25">
      <c r="A2" s="244"/>
      <c r="D2" s="247"/>
    </row>
    <row r="3" spans="1:4" x14ac:dyDescent="0.25">
      <c r="A3" s="244"/>
      <c r="D3" s="247"/>
    </row>
    <row r="4" spans="1:4" x14ac:dyDescent="0.25">
      <c r="A4" s="244"/>
      <c r="D4" s="247"/>
    </row>
    <row r="5" spans="1:4" x14ac:dyDescent="0.25">
      <c r="A5" s="505" t="s">
        <v>0</v>
      </c>
      <c r="B5" s="506"/>
      <c r="C5" s="506"/>
      <c r="D5" s="507"/>
    </row>
    <row r="6" spans="1:4" x14ac:dyDescent="0.25">
      <c r="A6" s="508" t="s">
        <v>52</v>
      </c>
      <c r="B6" s="509"/>
      <c r="C6" s="509"/>
      <c r="D6" s="510"/>
    </row>
    <row r="7" spans="1:4" x14ac:dyDescent="0.25">
      <c r="A7" s="511" t="s">
        <v>2</v>
      </c>
      <c r="B7" s="512"/>
      <c r="C7" s="512"/>
      <c r="D7" s="513"/>
    </row>
    <row r="8" spans="1:4" x14ac:dyDescent="0.25">
      <c r="A8" s="514" t="s">
        <v>302</v>
      </c>
      <c r="B8" s="515"/>
      <c r="C8" s="515"/>
      <c r="D8" s="516"/>
    </row>
    <row r="9" spans="1:4" x14ac:dyDescent="0.25">
      <c r="A9" s="517"/>
      <c r="B9" s="518"/>
      <c r="C9" s="518"/>
      <c r="D9" s="519"/>
    </row>
    <row r="10" spans="1:4" s="252" customFormat="1" ht="44.25" customHeight="1" x14ac:dyDescent="0.25">
      <c r="A10" s="248" t="s">
        <v>224</v>
      </c>
      <c r="B10" s="250" t="s">
        <v>189</v>
      </c>
      <c r="C10" s="249" t="s">
        <v>30</v>
      </c>
      <c r="D10" s="251" t="s">
        <v>288</v>
      </c>
    </row>
    <row r="11" spans="1:4" x14ac:dyDescent="0.25">
      <c r="A11" s="239">
        <v>46060</v>
      </c>
      <c r="B11" s="241" t="s">
        <v>289</v>
      </c>
      <c r="C11" s="273" t="s">
        <v>291</v>
      </c>
      <c r="D11" s="274">
        <v>2160</v>
      </c>
    </row>
    <row r="12" spans="1:4" x14ac:dyDescent="0.25">
      <c r="A12" s="244"/>
      <c r="B12" s="21" t="s">
        <v>290</v>
      </c>
      <c r="C12" s="253"/>
      <c r="D12" s="247"/>
    </row>
    <row r="13" spans="1:4" x14ac:dyDescent="0.25">
      <c r="A13" s="244"/>
      <c r="B13" s="21" t="s">
        <v>292</v>
      </c>
      <c r="C13" s="253" t="s">
        <v>293</v>
      </c>
      <c r="D13" s="247">
        <v>64.5</v>
      </c>
    </row>
    <row r="14" spans="1:4" x14ac:dyDescent="0.25">
      <c r="A14" s="244"/>
      <c r="B14" s="21" t="s">
        <v>294</v>
      </c>
      <c r="C14" s="253" t="s">
        <v>295</v>
      </c>
      <c r="D14" s="247">
        <v>193.5</v>
      </c>
    </row>
    <row r="15" spans="1:4" x14ac:dyDescent="0.25">
      <c r="A15" s="244"/>
      <c r="C15" s="253"/>
      <c r="D15" s="247"/>
    </row>
    <row r="16" spans="1:4" x14ac:dyDescent="0.25">
      <c r="A16" s="244"/>
      <c r="C16" s="253"/>
      <c r="D16" s="247"/>
    </row>
    <row r="17" spans="1:4" x14ac:dyDescent="0.25">
      <c r="A17" s="244"/>
      <c r="C17" s="253"/>
      <c r="D17" s="247"/>
    </row>
    <row r="18" spans="1:4" x14ac:dyDescent="0.25">
      <c r="A18" s="244"/>
      <c r="C18" s="253"/>
      <c r="D18" s="247"/>
    </row>
    <row r="19" spans="1:4" x14ac:dyDescent="0.25">
      <c r="A19" s="244"/>
      <c r="C19" s="253"/>
      <c r="D19" s="247"/>
    </row>
    <row r="20" spans="1:4" x14ac:dyDescent="0.25">
      <c r="A20" s="244"/>
      <c r="D20" s="247"/>
    </row>
    <row r="21" spans="1:4" x14ac:dyDescent="0.25">
      <c r="A21" s="244"/>
      <c r="C21" s="253"/>
      <c r="D21" s="254"/>
    </row>
    <row r="22" spans="1:4" x14ac:dyDescent="0.25">
      <c r="A22" s="244"/>
      <c r="C22" s="255"/>
      <c r="D22" s="256"/>
    </row>
    <row r="23" spans="1:4" x14ac:dyDescent="0.25">
      <c r="A23" s="244"/>
      <c r="C23" s="255"/>
      <c r="D23" s="256"/>
    </row>
    <row r="24" spans="1:4" x14ac:dyDescent="0.25">
      <c r="A24" s="244"/>
      <c r="C24" s="255"/>
      <c r="D24" s="256"/>
    </row>
    <row r="25" spans="1:4" x14ac:dyDescent="0.25">
      <c r="A25" s="244"/>
      <c r="C25" s="255"/>
      <c r="D25" s="256"/>
    </row>
    <row r="26" spans="1:4" x14ac:dyDescent="0.25">
      <c r="A26" s="244"/>
      <c r="C26" s="255"/>
      <c r="D26" s="256"/>
    </row>
    <row r="27" spans="1:4" x14ac:dyDescent="0.25">
      <c r="A27" s="244"/>
      <c r="C27" s="255"/>
      <c r="D27" s="256"/>
    </row>
    <row r="28" spans="1:4" x14ac:dyDescent="0.25">
      <c r="A28" s="244"/>
      <c r="C28" s="255"/>
      <c r="D28" s="256"/>
    </row>
    <row r="29" spans="1:4" x14ac:dyDescent="0.25">
      <c r="A29" s="244"/>
      <c r="C29" s="255"/>
      <c r="D29" s="256"/>
    </row>
    <row r="30" spans="1:4" x14ac:dyDescent="0.25">
      <c r="A30" s="244"/>
      <c r="C30" s="255"/>
      <c r="D30" s="256"/>
    </row>
    <row r="31" spans="1:4" x14ac:dyDescent="0.25">
      <c r="A31" s="244"/>
      <c r="C31" s="255"/>
      <c r="D31" s="256"/>
    </row>
    <row r="32" spans="1:4" x14ac:dyDescent="0.25">
      <c r="A32" s="244"/>
      <c r="C32" s="255"/>
      <c r="D32" s="256"/>
    </row>
    <row r="33" spans="1:4" x14ac:dyDescent="0.25">
      <c r="A33" s="244"/>
      <c r="D33" s="247"/>
    </row>
    <row r="34" spans="1:4" x14ac:dyDescent="0.25">
      <c r="A34" s="244"/>
      <c r="C34" s="255"/>
      <c r="D34" s="257"/>
    </row>
    <row r="35" spans="1:4" x14ac:dyDescent="0.25">
      <c r="A35" s="244"/>
      <c r="C35" s="255"/>
      <c r="D35" s="257"/>
    </row>
    <row r="36" spans="1:4" x14ac:dyDescent="0.25">
      <c r="A36" s="244"/>
      <c r="C36" s="255"/>
      <c r="D36" s="257"/>
    </row>
    <row r="37" spans="1:4" x14ac:dyDescent="0.25">
      <c r="A37" s="244"/>
      <c r="C37" s="255"/>
      <c r="D37" s="257"/>
    </row>
    <row r="38" spans="1:4" x14ac:dyDescent="0.25">
      <c r="A38" s="244"/>
      <c r="C38" s="255"/>
      <c r="D38" s="257"/>
    </row>
    <row r="39" spans="1:4" x14ac:dyDescent="0.25">
      <c r="A39" s="244"/>
      <c r="C39" s="255"/>
      <c r="D39" s="257"/>
    </row>
    <row r="40" spans="1:4" x14ac:dyDescent="0.25">
      <c r="A40" s="244"/>
      <c r="C40" s="255"/>
      <c r="D40" s="257"/>
    </row>
    <row r="41" spans="1:4" ht="15.75" x14ac:dyDescent="0.25">
      <c r="A41" s="244"/>
      <c r="C41" s="47" t="s">
        <v>32</v>
      </c>
      <c r="D41" s="258">
        <f>SUM(D11:D21)</f>
        <v>2418</v>
      </c>
    </row>
    <row r="42" spans="1:4" ht="15.75" x14ac:dyDescent="0.25">
      <c r="A42" s="244"/>
      <c r="C42" s="47"/>
      <c r="D42" s="258"/>
    </row>
    <row r="43" spans="1:4" x14ac:dyDescent="0.25">
      <c r="A43" s="244"/>
      <c r="D43" s="247"/>
    </row>
    <row r="44" spans="1:4" x14ac:dyDescent="0.25">
      <c r="A44" s="259"/>
      <c r="B44" s="261"/>
      <c r="C44" s="262"/>
      <c r="D44" s="263"/>
    </row>
    <row r="45" spans="1:4" ht="15.75" x14ac:dyDescent="0.25">
      <c r="A45" s="264" t="s">
        <v>12</v>
      </c>
      <c r="B45" s="201"/>
      <c r="C45" s="266" t="s">
        <v>260</v>
      </c>
      <c r="D45" s="243"/>
    </row>
    <row r="46" spans="1:4" ht="15.75" x14ac:dyDescent="0.25">
      <c r="A46" s="267"/>
      <c r="B46" s="41"/>
      <c r="C46" s="41"/>
      <c r="D46" s="247"/>
    </row>
    <row r="47" spans="1:4" ht="15.75" x14ac:dyDescent="0.25">
      <c r="A47" s="267"/>
      <c r="B47" s="41"/>
      <c r="C47" s="41"/>
      <c r="D47" s="247"/>
    </row>
    <row r="48" spans="1:4" x14ac:dyDescent="0.25">
      <c r="A48" s="520" t="s">
        <v>15</v>
      </c>
      <c r="B48" s="521"/>
      <c r="C48" s="488" t="s">
        <v>5</v>
      </c>
      <c r="D48" s="489"/>
    </row>
    <row r="49" spans="1:4" x14ac:dyDescent="0.25">
      <c r="A49" s="503" t="s">
        <v>17</v>
      </c>
      <c r="B49" s="504"/>
      <c r="C49" s="455" t="s">
        <v>18</v>
      </c>
      <c r="D49" s="456"/>
    </row>
    <row r="50" spans="1:4" x14ac:dyDescent="0.25">
      <c r="A50" s="497" t="s">
        <v>261</v>
      </c>
      <c r="B50" s="495"/>
      <c r="C50" s="495"/>
      <c r="D50" s="496"/>
    </row>
    <row r="51" spans="1:4" ht="15.75" x14ac:dyDescent="0.25">
      <c r="A51" s="267"/>
      <c r="B51" s="41"/>
      <c r="C51" s="41"/>
      <c r="D51" s="188"/>
    </row>
    <row r="52" spans="1:4" ht="15.75" x14ac:dyDescent="0.25">
      <c r="A52" s="267"/>
      <c r="B52" s="41"/>
      <c r="C52" s="41"/>
      <c r="D52" s="188"/>
    </row>
    <row r="53" spans="1:4" x14ac:dyDescent="0.25">
      <c r="A53" s="490" t="s">
        <v>22</v>
      </c>
      <c r="B53" s="491"/>
      <c r="C53" s="491"/>
      <c r="D53" s="492"/>
    </row>
    <row r="54" spans="1:4" x14ac:dyDescent="0.25">
      <c r="A54" s="454" t="s">
        <v>24</v>
      </c>
      <c r="B54" s="455"/>
      <c r="C54" s="455"/>
      <c r="D54" s="456"/>
    </row>
    <row r="59" spans="1:4" x14ac:dyDescent="0.25">
      <c r="B59" s="501"/>
      <c r="C59" s="501"/>
    </row>
    <row r="60" spans="1:4" x14ac:dyDescent="0.25">
      <c r="B60" s="500"/>
      <c r="C60" s="500"/>
    </row>
    <row r="61" spans="1:4" x14ac:dyDescent="0.25">
      <c r="B61" s="277"/>
      <c r="C61" s="253"/>
    </row>
    <row r="65" spans="2:3" x14ac:dyDescent="0.25">
      <c r="B65" s="501"/>
      <c r="C65" s="501"/>
    </row>
    <row r="66" spans="2:3" x14ac:dyDescent="0.25">
      <c r="B66" s="502"/>
      <c r="C66" s="502"/>
    </row>
  </sheetData>
  <mergeCells count="15">
    <mergeCell ref="A5:D5"/>
    <mergeCell ref="A6:D6"/>
    <mergeCell ref="A7:D7"/>
    <mergeCell ref="A8:D9"/>
    <mergeCell ref="A48:B48"/>
    <mergeCell ref="C48:D48"/>
    <mergeCell ref="B60:C60"/>
    <mergeCell ref="B65:C65"/>
    <mergeCell ref="B66:C66"/>
    <mergeCell ref="A49:B49"/>
    <mergeCell ref="C49:D49"/>
    <mergeCell ref="A50:D50"/>
    <mergeCell ref="A53:D53"/>
    <mergeCell ref="A54:D54"/>
    <mergeCell ref="B59:C59"/>
  </mergeCells>
  <pageMargins left="0.7" right="0.7" top="0.75" bottom="0.75" header="0.3" footer="0.3"/>
  <pageSetup paperSize="9" scale="89" fitToHeight="0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919C0-8A20-4B4F-AFED-B1E8349E9860}">
  <dimension ref="A1:J49"/>
  <sheetViews>
    <sheetView workbookViewId="0">
      <selection activeCell="I11" sqref="I11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0.5703125" style="41" customWidth="1"/>
    <col min="7" max="7" width="13.42578125" style="41" customWidth="1"/>
    <col min="8" max="8" width="24.4257812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B2" s="275"/>
      <c r="C2" s="275"/>
      <c r="D2" s="275"/>
      <c r="E2" s="275"/>
      <c r="F2" s="275"/>
      <c r="G2" s="275"/>
      <c r="H2" s="188"/>
    </row>
    <row r="3" spans="1:9" x14ac:dyDescent="0.2">
      <c r="A3" s="187"/>
      <c r="B3" s="275"/>
      <c r="C3" s="275"/>
      <c r="D3" s="275"/>
      <c r="E3" s="275"/>
      <c r="F3" s="275"/>
      <c r="G3" s="275"/>
      <c r="H3" s="188"/>
    </row>
    <row r="4" spans="1:9" x14ac:dyDescent="0.2">
      <c r="A4" s="187"/>
      <c r="B4" s="275"/>
      <c r="C4" s="275"/>
      <c r="D4" s="286"/>
      <c r="E4" s="286"/>
      <c r="F4" s="286"/>
      <c r="G4" s="286"/>
      <c r="H4" s="189"/>
      <c r="I4" s="128"/>
    </row>
    <row r="5" spans="1:9" ht="15.75" customHeight="1" x14ac:dyDescent="0.2">
      <c r="A5" s="449" t="s">
        <v>0</v>
      </c>
      <c r="B5" s="522"/>
      <c r="C5" s="522"/>
      <c r="D5" s="522"/>
      <c r="E5" s="522"/>
      <c r="F5" s="522"/>
      <c r="G5" s="522"/>
      <c r="H5" s="450"/>
      <c r="I5" s="70"/>
    </row>
    <row r="6" spans="1:9" ht="15.75" customHeight="1" x14ac:dyDescent="0.2">
      <c r="A6" s="451" t="s">
        <v>1</v>
      </c>
      <c r="B6" s="523"/>
      <c r="C6" s="523"/>
      <c r="D6" s="523"/>
      <c r="E6" s="523"/>
      <c r="F6" s="523"/>
      <c r="G6" s="523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308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524"/>
      <c r="G10" s="214" t="s">
        <v>186</v>
      </c>
      <c r="H10" s="190">
        <v>46063</v>
      </c>
      <c r="I10" s="215"/>
    </row>
    <row r="11" spans="1:9" ht="15.75" customHeight="1" x14ac:dyDescent="0.2">
      <c r="A11" s="470" t="s">
        <v>187</v>
      </c>
      <c r="B11" s="471"/>
      <c r="C11" s="474" t="s">
        <v>303</v>
      </c>
      <c r="D11" s="474"/>
      <c r="E11" s="474"/>
      <c r="F11" s="464"/>
      <c r="G11" s="447" t="s">
        <v>188</v>
      </c>
      <c r="H11" s="525" t="s">
        <v>217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526"/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 t="s">
        <v>318</v>
      </c>
      <c r="B15" s="220"/>
      <c r="C15" s="220"/>
      <c r="D15" s="220"/>
      <c r="E15" s="220"/>
      <c r="F15" s="221"/>
      <c r="G15" s="187"/>
      <c r="H15" s="188"/>
    </row>
    <row r="16" spans="1:9" ht="15.75" x14ac:dyDescent="0.2">
      <c r="A16" s="218" t="s">
        <v>304</v>
      </c>
      <c r="B16" s="287"/>
      <c r="C16" s="287"/>
      <c r="D16" s="287"/>
      <c r="E16" s="287"/>
      <c r="F16" s="219"/>
      <c r="G16" s="224"/>
      <c r="H16" s="225">
        <v>2400</v>
      </c>
    </row>
    <row r="17" spans="1:10" ht="15.75" x14ac:dyDescent="0.25">
      <c r="A17" s="288" t="s">
        <v>305</v>
      </c>
      <c r="B17" s="287"/>
      <c r="C17" s="287"/>
      <c r="D17" s="287"/>
      <c r="E17" s="287"/>
      <c r="F17" s="219"/>
      <c r="G17" s="187"/>
      <c r="H17" s="188"/>
    </row>
    <row r="18" spans="1:10" x14ac:dyDescent="0.2">
      <c r="A18" s="218" t="s">
        <v>306</v>
      </c>
      <c r="B18" s="275"/>
      <c r="C18" s="275"/>
      <c r="D18" s="275"/>
      <c r="E18" s="275"/>
      <c r="F18" s="188"/>
      <c r="G18" s="187"/>
      <c r="H18" s="188"/>
    </row>
    <row r="19" spans="1:10" ht="15.75" x14ac:dyDescent="0.25">
      <c r="A19" s="187"/>
      <c r="B19" s="289" t="s">
        <v>319</v>
      </c>
      <c r="C19" s="275"/>
      <c r="D19" s="275"/>
      <c r="E19" s="275"/>
      <c r="F19" s="188"/>
      <c r="G19" s="187"/>
      <c r="H19" s="188"/>
    </row>
    <row r="20" spans="1:10" x14ac:dyDescent="0.2">
      <c r="A20" s="187"/>
      <c r="B20" s="275"/>
      <c r="C20" s="275"/>
      <c r="D20" s="275"/>
      <c r="E20" s="275"/>
      <c r="F20" s="188"/>
      <c r="G20" s="187"/>
      <c r="H20" s="188"/>
    </row>
    <row r="21" spans="1:10" x14ac:dyDescent="0.2">
      <c r="A21" s="192"/>
      <c r="B21" s="193"/>
      <c r="C21" s="193"/>
      <c r="D21" s="193"/>
      <c r="E21" s="193"/>
      <c r="F21" s="194"/>
      <c r="G21" s="192"/>
      <c r="H21" s="194"/>
    </row>
    <row r="22" spans="1:10" ht="15.75" x14ac:dyDescent="0.25">
      <c r="A22" s="477" t="s">
        <v>191</v>
      </c>
      <c r="B22" s="481"/>
      <c r="C22" s="481"/>
      <c r="D22" s="481"/>
      <c r="E22" s="480"/>
      <c r="F22" s="482" t="s">
        <v>192</v>
      </c>
      <c r="G22" s="483"/>
      <c r="H22" s="195" t="s">
        <v>193</v>
      </c>
    </row>
    <row r="23" spans="1:10" x14ac:dyDescent="0.2">
      <c r="A23" s="281" t="s">
        <v>307</v>
      </c>
      <c r="B23" s="197"/>
      <c r="C23" s="197"/>
      <c r="D23" s="197"/>
      <c r="E23" s="197"/>
      <c r="F23" s="484">
        <v>2400</v>
      </c>
      <c r="G23" s="484"/>
      <c r="H23" s="279"/>
      <c r="J23" s="41" t="s">
        <v>196</v>
      </c>
    </row>
    <row r="24" spans="1:10" x14ac:dyDescent="0.2">
      <c r="A24" s="196"/>
      <c r="B24" s="282" t="s">
        <v>36</v>
      </c>
      <c r="C24" s="197"/>
      <c r="D24" s="197"/>
      <c r="E24" s="197"/>
      <c r="F24" s="485"/>
      <c r="G24" s="485"/>
      <c r="H24" s="230">
        <f>SUM(F23)</f>
        <v>2400</v>
      </c>
    </row>
    <row r="25" spans="1:10" x14ac:dyDescent="0.2">
      <c r="A25" s="196"/>
      <c r="B25" s="197"/>
      <c r="C25" s="197"/>
      <c r="D25" s="197"/>
      <c r="E25" s="197"/>
      <c r="F25" s="486"/>
      <c r="G25" s="486"/>
      <c r="H25" s="227"/>
    </row>
    <row r="26" spans="1:10" x14ac:dyDescent="0.2">
      <c r="A26" s="196"/>
      <c r="B26" s="197"/>
      <c r="C26" s="197"/>
      <c r="D26" s="197"/>
      <c r="E26" s="197"/>
      <c r="F26" s="486"/>
      <c r="G26" s="486"/>
      <c r="H26" s="227"/>
    </row>
    <row r="27" spans="1:10" x14ac:dyDescent="0.2">
      <c r="A27" s="196"/>
      <c r="B27" s="197"/>
      <c r="C27" s="197"/>
      <c r="D27" s="197"/>
      <c r="E27" s="197"/>
      <c r="F27" s="486"/>
      <c r="G27" s="486"/>
      <c r="H27" s="227"/>
    </row>
    <row r="28" spans="1:10" x14ac:dyDescent="0.2">
      <c r="A28" s="196"/>
      <c r="B28" s="197"/>
      <c r="C28" s="197"/>
      <c r="D28" s="197"/>
      <c r="E28" s="199"/>
      <c r="F28" s="486"/>
      <c r="G28" s="486"/>
      <c r="H28" s="227"/>
    </row>
    <row r="29" spans="1:10" x14ac:dyDescent="0.2">
      <c r="A29" s="196"/>
      <c r="B29" s="197"/>
      <c r="C29" s="197"/>
      <c r="D29" s="197"/>
      <c r="E29" s="199"/>
      <c r="F29" s="486"/>
      <c r="G29" s="486"/>
      <c r="H29" s="227"/>
    </row>
    <row r="30" spans="1:10" x14ac:dyDescent="0.2">
      <c r="A30" s="192"/>
      <c r="B30" s="193"/>
      <c r="C30" s="193"/>
      <c r="D30" s="193"/>
      <c r="E30" s="193"/>
      <c r="F30" s="476"/>
      <c r="G30" s="476"/>
      <c r="H30" s="198"/>
    </row>
    <row r="31" spans="1:10" ht="15.75" x14ac:dyDescent="0.25">
      <c r="A31" s="200" t="s">
        <v>12</v>
      </c>
      <c r="B31" s="201"/>
      <c r="C31" s="201"/>
      <c r="D31" s="202"/>
      <c r="E31" s="200" t="s">
        <v>13</v>
      </c>
      <c r="F31" s="201"/>
      <c r="G31" s="202"/>
      <c r="H31" s="203" t="s">
        <v>14</v>
      </c>
    </row>
    <row r="32" spans="1:10" x14ac:dyDescent="0.2">
      <c r="A32" s="187"/>
      <c r="D32" s="188"/>
      <c r="E32" s="187"/>
      <c r="G32" s="188"/>
      <c r="H32" s="204"/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232" t="s">
        <v>15</v>
      </c>
      <c r="B34" s="205"/>
      <c r="C34" s="205"/>
      <c r="D34" s="206"/>
      <c r="E34" s="487" t="s">
        <v>5</v>
      </c>
      <c r="F34" s="488"/>
      <c r="G34" s="489"/>
      <c r="H34" s="233" t="s">
        <v>16</v>
      </c>
    </row>
    <row r="35" spans="1:8" x14ac:dyDescent="0.2">
      <c r="A35" s="454" t="s">
        <v>17</v>
      </c>
      <c r="B35" s="455"/>
      <c r="C35" s="455"/>
      <c r="D35" s="456"/>
      <c r="E35" s="454" t="s">
        <v>18</v>
      </c>
      <c r="F35" s="455"/>
      <c r="G35" s="456"/>
      <c r="H35" s="207" t="s">
        <v>19</v>
      </c>
    </row>
    <row r="36" spans="1:8" ht="15.75" customHeight="1" x14ac:dyDescent="0.2">
      <c r="A36" s="497" t="s">
        <v>203</v>
      </c>
      <c r="B36" s="495"/>
      <c r="C36" s="495"/>
      <c r="D36" s="495"/>
      <c r="E36" s="495"/>
      <c r="F36" s="495" t="s">
        <v>20</v>
      </c>
      <c r="G36" s="495"/>
      <c r="H36" s="496"/>
    </row>
    <row r="37" spans="1:8" x14ac:dyDescent="0.2">
      <c r="A37" s="187"/>
      <c r="H37" s="188"/>
    </row>
    <row r="38" spans="1:8" x14ac:dyDescent="0.2">
      <c r="A38" s="187"/>
      <c r="H38" s="188"/>
    </row>
    <row r="39" spans="1:8" ht="15.75" customHeight="1" x14ac:dyDescent="0.2">
      <c r="A39" s="490" t="s">
        <v>21</v>
      </c>
      <c r="B39" s="491"/>
      <c r="C39" s="491"/>
      <c r="D39" s="491"/>
      <c r="E39" s="491"/>
      <c r="F39" s="491" t="s">
        <v>22</v>
      </c>
      <c r="G39" s="491"/>
      <c r="H39" s="492"/>
    </row>
    <row r="40" spans="1:8" ht="15.75" customHeight="1" x14ac:dyDescent="0.2">
      <c r="A40" s="454" t="s">
        <v>23</v>
      </c>
      <c r="B40" s="455"/>
      <c r="C40" s="455"/>
      <c r="D40" s="455"/>
      <c r="E40" s="455"/>
      <c r="F40" s="455" t="s">
        <v>24</v>
      </c>
      <c r="G40" s="455"/>
      <c r="H40" s="456"/>
    </row>
    <row r="41" spans="1:8" x14ac:dyDescent="0.2">
      <c r="A41" s="208" t="s">
        <v>300</v>
      </c>
      <c r="B41" s="185"/>
      <c r="C41" s="185"/>
      <c r="D41" s="185"/>
      <c r="E41" s="185"/>
      <c r="F41" s="185"/>
      <c r="G41" s="185"/>
      <c r="H41" s="186"/>
    </row>
    <row r="42" spans="1:8" x14ac:dyDescent="0.2">
      <c r="A42" s="237" t="s">
        <v>309</v>
      </c>
      <c r="G42" s="209" t="s">
        <v>195</v>
      </c>
      <c r="H42" s="238"/>
    </row>
    <row r="43" spans="1:8" x14ac:dyDescent="0.2">
      <c r="A43" s="210"/>
      <c r="G43" s="209" t="s">
        <v>186</v>
      </c>
      <c r="H43" s="188"/>
    </row>
    <row r="44" spans="1:8" x14ac:dyDescent="0.2">
      <c r="A44" s="187"/>
      <c r="H44" s="188"/>
    </row>
    <row r="45" spans="1:8" x14ac:dyDescent="0.2">
      <c r="A45" s="187"/>
      <c r="H45" s="188"/>
    </row>
    <row r="46" spans="1:8" ht="15.75" thickBot="1" x14ac:dyDescent="0.25">
      <c r="A46" s="187"/>
      <c r="G46" s="211"/>
      <c r="H46" s="212"/>
    </row>
    <row r="47" spans="1:8" x14ac:dyDescent="0.2">
      <c r="A47" s="187"/>
      <c r="G47" s="493" t="s">
        <v>26</v>
      </c>
      <c r="H47" s="494"/>
    </row>
    <row r="48" spans="1:8" x14ac:dyDescent="0.2">
      <c r="A48" s="192"/>
      <c r="B48" s="193"/>
      <c r="C48" s="193"/>
      <c r="D48" s="193"/>
      <c r="E48" s="193"/>
      <c r="F48" s="193"/>
      <c r="G48" s="193"/>
      <c r="H48" s="194"/>
    </row>
    <row r="49" spans="1:1" x14ac:dyDescent="0.2">
      <c r="A49" s="185"/>
    </row>
  </sheetData>
  <mergeCells count="35">
    <mergeCell ref="A40:E40"/>
    <mergeCell ref="F40:H40"/>
    <mergeCell ref="G47:H47"/>
    <mergeCell ref="H11:H12"/>
    <mergeCell ref="E34:G34"/>
    <mergeCell ref="A35:D35"/>
    <mergeCell ref="E35:G35"/>
    <mergeCell ref="A36:E36"/>
    <mergeCell ref="F36:H36"/>
    <mergeCell ref="A39:E39"/>
    <mergeCell ref="F39:H39"/>
    <mergeCell ref="F25:G25"/>
    <mergeCell ref="F26:G26"/>
    <mergeCell ref="F27:G27"/>
    <mergeCell ref="F28:G28"/>
    <mergeCell ref="F29:G29"/>
    <mergeCell ref="F30:G30"/>
    <mergeCell ref="A13:F13"/>
    <mergeCell ref="G13:H13"/>
    <mergeCell ref="A22:E22"/>
    <mergeCell ref="F22:G22"/>
    <mergeCell ref="F23:G23"/>
    <mergeCell ref="F24:G24"/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4273" r:id="rId4" name="Check Box 1">
              <controlPr defaultSize="0" autoFill="0" autoLine="0" autoPict="0">
                <anchor moveWithCells="1">
                  <from>
                    <xdr:col>2</xdr:col>
                    <xdr:colOff>133350</xdr:colOff>
                    <xdr:row>6</xdr:row>
                    <xdr:rowOff>38100</xdr:rowOff>
                  </from>
                  <to>
                    <xdr:col>2</xdr:col>
                    <xdr:colOff>371475</xdr:colOff>
                    <xdr:row>12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4274" r:id="rId5" name="Check Box 2">
              <controlPr defaultSize="0" autoFill="0" autoLine="0" autoPict="0">
                <anchor moveWithCells="1">
                  <from>
                    <xdr:col>4</xdr:col>
                    <xdr:colOff>219075</xdr:colOff>
                    <xdr:row>6</xdr:row>
                    <xdr:rowOff>28575</xdr:rowOff>
                  </from>
                  <to>
                    <xdr:col>4</xdr:col>
                    <xdr:colOff>457200</xdr:colOff>
                    <xdr:row>12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E148-F651-406A-8CB9-69D56065FC90}">
  <dimension ref="A1:J49"/>
  <sheetViews>
    <sheetView workbookViewId="0">
      <selection activeCell="H8" sqref="H8:H9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0.5703125" style="41" customWidth="1"/>
    <col min="7" max="7" width="13.42578125" style="41" customWidth="1"/>
    <col min="8" max="8" width="24.4257812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B4" s="275"/>
      <c r="C4" s="275"/>
      <c r="D4" s="286"/>
      <c r="E4" s="286"/>
      <c r="F4" s="286"/>
      <c r="G4" s="286"/>
      <c r="H4" s="189"/>
      <c r="I4" s="128"/>
    </row>
    <row r="5" spans="1:9" ht="15.75" customHeight="1" x14ac:dyDescent="0.2">
      <c r="A5" s="449" t="s">
        <v>0</v>
      </c>
      <c r="B5" s="522"/>
      <c r="C5" s="522"/>
      <c r="D5" s="522"/>
      <c r="E5" s="522"/>
      <c r="F5" s="522"/>
      <c r="G5" s="522"/>
      <c r="H5" s="450"/>
      <c r="I5" s="70"/>
    </row>
    <row r="6" spans="1:9" ht="15.75" customHeight="1" x14ac:dyDescent="0.2">
      <c r="A6" s="451" t="s">
        <v>1</v>
      </c>
      <c r="B6" s="523"/>
      <c r="C6" s="523"/>
      <c r="D6" s="523"/>
      <c r="E6" s="523"/>
      <c r="F6" s="523"/>
      <c r="G6" s="523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310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46063</v>
      </c>
      <c r="I10" s="215"/>
    </row>
    <row r="11" spans="1:9" ht="15.75" x14ac:dyDescent="0.25">
      <c r="A11" s="470" t="s">
        <v>187</v>
      </c>
      <c r="B11" s="471"/>
      <c r="C11" s="474" t="s">
        <v>5</v>
      </c>
      <c r="D11" s="474"/>
      <c r="E11" s="474"/>
      <c r="F11" s="464"/>
      <c r="G11" s="447" t="s">
        <v>188</v>
      </c>
      <c r="H11" s="234" t="s">
        <v>216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217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 t="s">
        <v>311</v>
      </c>
      <c r="B15" s="220"/>
      <c r="C15" s="220"/>
      <c r="D15" s="220"/>
      <c r="E15" s="220"/>
      <c r="F15" s="221"/>
      <c r="G15" s="187"/>
      <c r="H15" s="188"/>
    </row>
    <row r="16" spans="1:9" ht="15.75" x14ac:dyDescent="0.2">
      <c r="A16" s="218" t="s">
        <v>312</v>
      </c>
      <c r="B16" s="287"/>
      <c r="C16" s="287"/>
      <c r="D16" s="287"/>
      <c r="E16" s="287"/>
      <c r="F16" s="219"/>
      <c r="G16" s="224"/>
      <c r="H16" s="225">
        <v>7000</v>
      </c>
    </row>
    <row r="17" spans="1:10" ht="15.75" x14ac:dyDescent="0.25">
      <c r="A17" s="288" t="s">
        <v>313</v>
      </c>
      <c r="B17" s="287"/>
      <c r="C17" s="287"/>
      <c r="D17" s="287"/>
      <c r="E17" s="287"/>
      <c r="F17" s="219"/>
      <c r="G17" s="187"/>
      <c r="H17" s="188"/>
    </row>
    <row r="18" spans="1:10" x14ac:dyDescent="0.2">
      <c r="A18" s="218"/>
      <c r="B18" s="275"/>
      <c r="C18" s="275"/>
      <c r="D18" s="275"/>
      <c r="E18" s="275"/>
      <c r="F18" s="188"/>
      <c r="G18" s="187"/>
      <c r="H18" s="188"/>
    </row>
    <row r="19" spans="1:10" x14ac:dyDescent="0.2">
      <c r="A19" s="187"/>
      <c r="B19" s="275"/>
      <c r="C19" s="275"/>
      <c r="D19" s="275"/>
      <c r="E19" s="275"/>
      <c r="F19" s="188"/>
      <c r="G19" s="187"/>
      <c r="H19" s="188"/>
    </row>
    <row r="20" spans="1:10" x14ac:dyDescent="0.2">
      <c r="A20" s="187"/>
      <c r="B20" s="275"/>
      <c r="C20" s="275"/>
      <c r="D20" s="275"/>
      <c r="E20" s="275"/>
      <c r="F20" s="188"/>
      <c r="G20" s="187"/>
      <c r="H20" s="188"/>
    </row>
    <row r="21" spans="1:10" x14ac:dyDescent="0.2">
      <c r="A21" s="192"/>
      <c r="B21" s="193"/>
      <c r="C21" s="193"/>
      <c r="D21" s="193"/>
      <c r="E21" s="193"/>
      <c r="F21" s="194"/>
      <c r="G21" s="192"/>
      <c r="H21" s="194"/>
    </row>
    <row r="22" spans="1:10" ht="15.75" x14ac:dyDescent="0.25">
      <c r="A22" s="477" t="s">
        <v>191</v>
      </c>
      <c r="B22" s="481"/>
      <c r="C22" s="481"/>
      <c r="D22" s="481"/>
      <c r="E22" s="480"/>
      <c r="F22" s="482" t="s">
        <v>192</v>
      </c>
      <c r="G22" s="483"/>
      <c r="H22" s="195" t="s">
        <v>193</v>
      </c>
    </row>
    <row r="23" spans="1:10" x14ac:dyDescent="0.2">
      <c r="A23" s="281" t="s">
        <v>314</v>
      </c>
      <c r="B23" s="197"/>
      <c r="C23" s="197"/>
      <c r="D23" s="197"/>
      <c r="E23" s="197"/>
      <c r="F23" s="484">
        <v>7000</v>
      </c>
      <c r="G23" s="484"/>
      <c r="H23" s="279"/>
      <c r="J23" s="41" t="s">
        <v>196</v>
      </c>
    </row>
    <row r="24" spans="1:10" x14ac:dyDescent="0.2">
      <c r="A24" s="196"/>
      <c r="B24" s="282" t="s">
        <v>11</v>
      </c>
      <c r="C24" s="197"/>
      <c r="D24" s="197"/>
      <c r="E24" s="197"/>
      <c r="F24" s="485"/>
      <c r="G24" s="485"/>
      <c r="H24" s="230">
        <f>SUM(F23)</f>
        <v>7000</v>
      </c>
    </row>
    <row r="25" spans="1:10" x14ac:dyDescent="0.2">
      <c r="A25" s="196"/>
      <c r="B25" s="197"/>
      <c r="C25" s="197"/>
      <c r="D25" s="197"/>
      <c r="E25" s="197"/>
      <c r="F25" s="486"/>
      <c r="G25" s="486"/>
      <c r="H25" s="227"/>
    </row>
    <row r="26" spans="1:10" x14ac:dyDescent="0.2">
      <c r="A26" s="196"/>
      <c r="B26" s="197"/>
      <c r="C26" s="197"/>
      <c r="D26" s="197"/>
      <c r="E26" s="197"/>
      <c r="F26" s="486"/>
      <c r="G26" s="486"/>
      <c r="H26" s="227"/>
    </row>
    <row r="27" spans="1:10" x14ac:dyDescent="0.2">
      <c r="A27" s="196"/>
      <c r="B27" s="197"/>
      <c r="C27" s="197"/>
      <c r="D27" s="197"/>
      <c r="E27" s="197"/>
      <c r="F27" s="486"/>
      <c r="G27" s="486"/>
      <c r="H27" s="227"/>
    </row>
    <row r="28" spans="1:10" x14ac:dyDescent="0.2">
      <c r="A28" s="196"/>
      <c r="B28" s="197"/>
      <c r="C28" s="197"/>
      <c r="D28" s="197"/>
      <c r="E28" s="199"/>
      <c r="F28" s="486"/>
      <c r="G28" s="486"/>
      <c r="H28" s="227"/>
    </row>
    <row r="29" spans="1:10" x14ac:dyDescent="0.2">
      <c r="A29" s="196"/>
      <c r="B29" s="197"/>
      <c r="C29" s="197"/>
      <c r="D29" s="197"/>
      <c r="E29" s="199"/>
      <c r="F29" s="486"/>
      <c r="G29" s="486"/>
      <c r="H29" s="227"/>
    </row>
    <row r="30" spans="1:10" x14ac:dyDescent="0.2">
      <c r="A30" s="192"/>
      <c r="B30" s="193"/>
      <c r="C30" s="193"/>
      <c r="D30" s="193"/>
      <c r="E30" s="193"/>
      <c r="F30" s="476"/>
      <c r="G30" s="476"/>
      <c r="H30" s="198"/>
    </row>
    <row r="31" spans="1:10" ht="15.75" x14ac:dyDescent="0.25">
      <c r="A31" s="200" t="s">
        <v>12</v>
      </c>
      <c r="B31" s="201"/>
      <c r="C31" s="201"/>
      <c r="D31" s="202"/>
      <c r="E31" s="200" t="s">
        <v>315</v>
      </c>
      <c r="F31" s="201"/>
      <c r="G31" s="202"/>
      <c r="H31" s="203" t="s">
        <v>14</v>
      </c>
    </row>
    <row r="32" spans="1:10" x14ac:dyDescent="0.2">
      <c r="A32" s="187"/>
      <c r="D32" s="188"/>
      <c r="E32" s="187"/>
      <c r="G32" s="188"/>
      <c r="H32" s="204"/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232" t="s">
        <v>15</v>
      </c>
      <c r="B34" s="205"/>
      <c r="C34" s="205"/>
      <c r="D34" s="206"/>
      <c r="E34" s="487" t="s">
        <v>5</v>
      </c>
      <c r="F34" s="488"/>
      <c r="G34" s="489"/>
      <c r="H34" s="233" t="s">
        <v>16</v>
      </c>
    </row>
    <row r="35" spans="1:8" x14ac:dyDescent="0.2">
      <c r="A35" s="454" t="s">
        <v>17</v>
      </c>
      <c r="B35" s="455"/>
      <c r="C35" s="455"/>
      <c r="D35" s="456"/>
      <c r="E35" s="454" t="s">
        <v>18</v>
      </c>
      <c r="F35" s="455"/>
      <c r="G35" s="456"/>
      <c r="H35" s="207" t="s">
        <v>19</v>
      </c>
    </row>
    <row r="36" spans="1:8" ht="15.75" customHeight="1" x14ac:dyDescent="0.2">
      <c r="A36" s="497" t="s">
        <v>203</v>
      </c>
      <c r="B36" s="495"/>
      <c r="C36" s="495"/>
      <c r="D36" s="495"/>
      <c r="E36" s="495"/>
      <c r="F36" s="495" t="s">
        <v>20</v>
      </c>
      <c r="G36" s="495"/>
      <c r="H36" s="496"/>
    </row>
    <row r="37" spans="1:8" x14ac:dyDescent="0.2">
      <c r="A37" s="187"/>
      <c r="H37" s="188"/>
    </row>
    <row r="38" spans="1:8" x14ac:dyDescent="0.2">
      <c r="A38" s="187"/>
      <c r="H38" s="188"/>
    </row>
    <row r="39" spans="1:8" ht="15.75" customHeight="1" x14ac:dyDescent="0.2">
      <c r="A39" s="490" t="s">
        <v>21</v>
      </c>
      <c r="B39" s="491"/>
      <c r="C39" s="491"/>
      <c r="D39" s="491"/>
      <c r="E39" s="491"/>
      <c r="F39" s="491" t="s">
        <v>22</v>
      </c>
      <c r="G39" s="491"/>
      <c r="H39" s="492"/>
    </row>
    <row r="40" spans="1:8" ht="15.75" customHeight="1" x14ac:dyDescent="0.2">
      <c r="A40" s="454" t="s">
        <v>23</v>
      </c>
      <c r="B40" s="455"/>
      <c r="C40" s="455"/>
      <c r="D40" s="455"/>
      <c r="E40" s="455"/>
      <c r="F40" s="455" t="s">
        <v>24</v>
      </c>
      <c r="G40" s="455"/>
      <c r="H40" s="456"/>
    </row>
    <row r="41" spans="1:8" x14ac:dyDescent="0.2">
      <c r="A41" s="208" t="s">
        <v>316</v>
      </c>
      <c r="B41" s="185"/>
      <c r="C41" s="185"/>
      <c r="D41" s="185"/>
      <c r="E41" s="185"/>
      <c r="F41" s="185"/>
      <c r="G41" s="185"/>
      <c r="H41" s="186"/>
    </row>
    <row r="42" spans="1:8" x14ac:dyDescent="0.2">
      <c r="A42" s="237" t="s">
        <v>317</v>
      </c>
      <c r="G42" s="209" t="s">
        <v>195</v>
      </c>
      <c r="H42" s="238"/>
    </row>
    <row r="43" spans="1:8" x14ac:dyDescent="0.2">
      <c r="A43" s="210"/>
      <c r="G43" s="209" t="s">
        <v>186</v>
      </c>
      <c r="H43" s="188"/>
    </row>
    <row r="44" spans="1:8" x14ac:dyDescent="0.2">
      <c r="A44" s="187"/>
      <c r="H44" s="188"/>
    </row>
    <row r="45" spans="1:8" x14ac:dyDescent="0.2">
      <c r="A45" s="187"/>
      <c r="H45" s="188"/>
    </row>
    <row r="46" spans="1:8" ht="15.75" thickBot="1" x14ac:dyDescent="0.25">
      <c r="A46" s="187"/>
      <c r="G46" s="211"/>
      <c r="H46" s="212"/>
    </row>
    <row r="47" spans="1:8" x14ac:dyDescent="0.2">
      <c r="A47" s="187"/>
      <c r="G47" s="493" t="s">
        <v>26</v>
      </c>
      <c r="H47" s="494"/>
    </row>
    <row r="48" spans="1:8" x14ac:dyDescent="0.2">
      <c r="A48" s="192"/>
      <c r="B48" s="193"/>
      <c r="C48" s="193"/>
      <c r="D48" s="193"/>
      <c r="E48" s="193"/>
      <c r="F48" s="193"/>
      <c r="G48" s="193"/>
      <c r="H48" s="194"/>
    </row>
    <row r="49" spans="1:1" x14ac:dyDescent="0.2">
      <c r="A49" s="185"/>
    </row>
  </sheetData>
  <mergeCells count="34">
    <mergeCell ref="A40:E40"/>
    <mergeCell ref="F40:H40"/>
    <mergeCell ref="G47:H47"/>
    <mergeCell ref="E34:G34"/>
    <mergeCell ref="A35:D35"/>
    <mergeCell ref="E35:G35"/>
    <mergeCell ref="A36:E36"/>
    <mergeCell ref="F36:H36"/>
    <mergeCell ref="A39:E39"/>
    <mergeCell ref="F39:H39"/>
    <mergeCell ref="F30:G30"/>
    <mergeCell ref="A13:F13"/>
    <mergeCell ref="G13:H13"/>
    <mergeCell ref="A22:E22"/>
    <mergeCell ref="F22:G22"/>
    <mergeCell ref="F23:G23"/>
    <mergeCell ref="F24:G24"/>
    <mergeCell ref="F25:G25"/>
    <mergeCell ref="F26:G26"/>
    <mergeCell ref="F27:G27"/>
    <mergeCell ref="F28:G28"/>
    <mergeCell ref="F29:G29"/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5297" r:id="rId4" name="Check Box 1">
              <controlPr defaultSize="0" autoFill="0" autoLine="0" autoPict="0">
                <anchor moveWithCells="1">
                  <from>
                    <xdr:col>2</xdr:col>
                    <xdr:colOff>142875</xdr:colOff>
                    <xdr:row>6</xdr:row>
                    <xdr:rowOff>38100</xdr:rowOff>
                  </from>
                  <to>
                    <xdr:col>2</xdr:col>
                    <xdr:colOff>381000</xdr:colOff>
                    <xdr:row>12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98" r:id="rId5" name="Check Box 2">
              <controlPr defaultSize="0" autoFill="0" autoLine="0" autoPict="0">
                <anchor moveWithCells="1">
                  <from>
                    <xdr:col>4</xdr:col>
                    <xdr:colOff>209550</xdr:colOff>
                    <xdr:row>6</xdr:row>
                    <xdr:rowOff>38100</xdr:rowOff>
                  </from>
                  <to>
                    <xdr:col>4</xdr:col>
                    <xdr:colOff>447675</xdr:colOff>
                    <xdr:row>12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D9AEE-10F8-4B32-91B0-C408BC023B4B}">
  <dimension ref="A1:J49"/>
  <sheetViews>
    <sheetView topLeftCell="A13" workbookViewId="0">
      <selection activeCell="F23" sqref="F23:G23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0.5703125" style="41" customWidth="1"/>
    <col min="7" max="7" width="13.42578125" style="41" customWidth="1"/>
    <col min="8" max="8" width="24.4257812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B4" s="275"/>
      <c r="C4" s="275"/>
      <c r="D4" s="286"/>
      <c r="E4" s="286"/>
      <c r="F4" s="286"/>
      <c r="G4" s="286"/>
      <c r="H4" s="189"/>
      <c r="I4" s="128"/>
    </row>
    <row r="5" spans="1:9" ht="15.75" customHeight="1" x14ac:dyDescent="0.2">
      <c r="A5" s="449" t="s">
        <v>0</v>
      </c>
      <c r="B5" s="522"/>
      <c r="C5" s="522"/>
      <c r="D5" s="522"/>
      <c r="E5" s="522"/>
      <c r="F5" s="522"/>
      <c r="G5" s="522"/>
      <c r="H5" s="450"/>
      <c r="I5" s="70"/>
    </row>
    <row r="6" spans="1:9" ht="15.75" customHeight="1" x14ac:dyDescent="0.2">
      <c r="A6" s="451" t="s">
        <v>1</v>
      </c>
      <c r="B6" s="523"/>
      <c r="C6" s="523"/>
      <c r="D6" s="523"/>
      <c r="E6" s="523"/>
      <c r="F6" s="523"/>
      <c r="G6" s="523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321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46064</v>
      </c>
      <c r="I10" s="215"/>
    </row>
    <row r="11" spans="1:9" ht="15.75" x14ac:dyDescent="0.25">
      <c r="A11" s="470" t="s">
        <v>187</v>
      </c>
      <c r="B11" s="471"/>
      <c r="C11" s="474" t="s">
        <v>215</v>
      </c>
      <c r="D11" s="474"/>
      <c r="E11" s="474"/>
      <c r="F11" s="464"/>
      <c r="G11" s="447" t="s">
        <v>188</v>
      </c>
      <c r="H11" s="234" t="s">
        <v>216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217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 t="s">
        <v>218</v>
      </c>
      <c r="B15" s="220"/>
      <c r="C15" s="220"/>
      <c r="D15" s="220"/>
      <c r="E15" s="220"/>
      <c r="F15" s="221"/>
      <c r="G15" s="187"/>
      <c r="H15" s="188"/>
    </row>
    <row r="16" spans="1:9" ht="15.75" x14ac:dyDescent="0.2">
      <c r="A16" s="218" t="s">
        <v>320</v>
      </c>
      <c r="B16" s="287"/>
      <c r="C16" s="287"/>
      <c r="D16" s="287"/>
      <c r="E16" s="287"/>
      <c r="F16" s="219"/>
      <c r="G16" s="224"/>
      <c r="H16" s="225">
        <v>2000</v>
      </c>
    </row>
    <row r="17" spans="1:10" ht="15.75" x14ac:dyDescent="0.25">
      <c r="A17" s="288"/>
      <c r="B17" s="287"/>
      <c r="C17" s="287"/>
      <c r="D17" s="287"/>
      <c r="E17" s="287"/>
      <c r="F17" s="219"/>
      <c r="G17" s="187"/>
      <c r="H17" s="188"/>
    </row>
    <row r="18" spans="1:10" x14ac:dyDescent="0.2">
      <c r="A18" s="218"/>
      <c r="B18" s="275"/>
      <c r="C18" s="275"/>
      <c r="D18" s="275"/>
      <c r="E18" s="275"/>
      <c r="F18" s="188"/>
      <c r="G18" s="187"/>
      <c r="H18" s="188"/>
    </row>
    <row r="19" spans="1:10" x14ac:dyDescent="0.2">
      <c r="A19" s="187"/>
      <c r="B19" s="275"/>
      <c r="C19" s="275"/>
      <c r="D19" s="275"/>
      <c r="E19" s="275"/>
      <c r="F19" s="188"/>
      <c r="G19" s="187"/>
      <c r="H19" s="188"/>
    </row>
    <row r="20" spans="1:10" x14ac:dyDescent="0.2">
      <c r="A20" s="187"/>
      <c r="B20" s="275"/>
      <c r="C20" s="275"/>
      <c r="D20" s="275"/>
      <c r="E20" s="275"/>
      <c r="F20" s="188"/>
      <c r="G20" s="187"/>
      <c r="H20" s="188"/>
    </row>
    <row r="21" spans="1:10" x14ac:dyDescent="0.2">
      <c r="A21" s="192"/>
      <c r="B21" s="193"/>
      <c r="C21" s="193"/>
      <c r="D21" s="193"/>
      <c r="E21" s="193"/>
      <c r="F21" s="194"/>
      <c r="G21" s="192"/>
      <c r="H21" s="194"/>
    </row>
    <row r="22" spans="1:10" ht="15.75" x14ac:dyDescent="0.25">
      <c r="A22" s="477" t="s">
        <v>191</v>
      </c>
      <c r="B22" s="481"/>
      <c r="C22" s="481"/>
      <c r="D22" s="481"/>
      <c r="E22" s="480"/>
      <c r="F22" s="482" t="s">
        <v>192</v>
      </c>
      <c r="G22" s="483"/>
      <c r="H22" s="195" t="s">
        <v>193</v>
      </c>
    </row>
    <row r="23" spans="1:10" x14ac:dyDescent="0.2">
      <c r="A23" s="226" t="s">
        <v>37</v>
      </c>
      <c r="B23" s="197"/>
      <c r="C23" s="197"/>
      <c r="D23" s="197"/>
      <c r="E23" s="197"/>
      <c r="F23" s="484">
        <v>2000</v>
      </c>
      <c r="G23" s="484"/>
      <c r="H23" s="283"/>
      <c r="J23" s="41" t="s">
        <v>196</v>
      </c>
    </row>
    <row r="24" spans="1:10" x14ac:dyDescent="0.2">
      <c r="A24" s="196"/>
      <c r="B24" s="231" t="s">
        <v>36</v>
      </c>
      <c r="C24" s="197"/>
      <c r="D24" s="197"/>
      <c r="E24" s="197"/>
      <c r="F24" s="485"/>
      <c r="G24" s="485"/>
      <c r="H24" s="230">
        <f>SUM(F23)</f>
        <v>2000</v>
      </c>
    </row>
    <row r="25" spans="1:10" x14ac:dyDescent="0.2">
      <c r="A25" s="196"/>
      <c r="B25" s="197"/>
      <c r="C25" s="197"/>
      <c r="D25" s="197"/>
      <c r="E25" s="197"/>
      <c r="F25" s="486"/>
      <c r="G25" s="486"/>
      <c r="H25" s="227"/>
    </row>
    <row r="26" spans="1:10" x14ac:dyDescent="0.2">
      <c r="A26" s="196"/>
      <c r="B26" s="197"/>
      <c r="C26" s="197"/>
      <c r="D26" s="197"/>
      <c r="E26" s="197"/>
      <c r="F26" s="486"/>
      <c r="G26" s="486"/>
      <c r="H26" s="227"/>
    </row>
    <row r="27" spans="1:10" x14ac:dyDescent="0.2">
      <c r="A27" s="196"/>
      <c r="B27" s="197"/>
      <c r="C27" s="197"/>
      <c r="D27" s="197"/>
      <c r="E27" s="197"/>
      <c r="F27" s="486"/>
      <c r="G27" s="486"/>
      <c r="H27" s="227"/>
    </row>
    <row r="28" spans="1:10" x14ac:dyDescent="0.2">
      <c r="A28" s="196"/>
      <c r="B28" s="197"/>
      <c r="C28" s="197"/>
      <c r="D28" s="197"/>
      <c r="E28" s="199"/>
      <c r="F28" s="486"/>
      <c r="G28" s="486"/>
      <c r="H28" s="227"/>
    </row>
    <row r="29" spans="1:10" x14ac:dyDescent="0.2">
      <c r="A29" s="196"/>
      <c r="B29" s="197"/>
      <c r="C29" s="197"/>
      <c r="D29" s="197"/>
      <c r="E29" s="199"/>
      <c r="F29" s="486"/>
      <c r="G29" s="486"/>
      <c r="H29" s="227"/>
    </row>
    <row r="30" spans="1:10" x14ac:dyDescent="0.2">
      <c r="A30" s="192"/>
      <c r="B30" s="193"/>
      <c r="C30" s="193"/>
      <c r="D30" s="193"/>
      <c r="E30" s="193"/>
      <c r="F30" s="476"/>
      <c r="G30" s="476"/>
      <c r="H30" s="198"/>
    </row>
    <row r="31" spans="1:10" ht="15.75" x14ac:dyDescent="0.25">
      <c r="A31" s="200" t="s">
        <v>12</v>
      </c>
      <c r="B31" s="201"/>
      <c r="C31" s="201"/>
      <c r="D31" s="202"/>
      <c r="E31" s="200" t="s">
        <v>315</v>
      </c>
      <c r="F31" s="201"/>
      <c r="G31" s="202"/>
      <c r="H31" s="203" t="s">
        <v>14</v>
      </c>
    </row>
    <row r="32" spans="1:10" x14ac:dyDescent="0.2">
      <c r="A32" s="187"/>
      <c r="D32" s="188"/>
      <c r="E32" s="187"/>
      <c r="G32" s="188"/>
      <c r="H32" s="204"/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232" t="s">
        <v>15</v>
      </c>
      <c r="B34" s="205"/>
      <c r="C34" s="205"/>
      <c r="D34" s="206"/>
      <c r="E34" s="487" t="s">
        <v>5</v>
      </c>
      <c r="F34" s="488"/>
      <c r="G34" s="489"/>
      <c r="H34" s="233" t="s">
        <v>16</v>
      </c>
    </row>
    <row r="35" spans="1:8" x14ac:dyDescent="0.2">
      <c r="A35" s="454" t="s">
        <v>17</v>
      </c>
      <c r="B35" s="455"/>
      <c r="C35" s="455"/>
      <c r="D35" s="456"/>
      <c r="E35" s="454" t="s">
        <v>18</v>
      </c>
      <c r="F35" s="455"/>
      <c r="G35" s="456"/>
      <c r="H35" s="207" t="s">
        <v>19</v>
      </c>
    </row>
    <row r="36" spans="1:8" ht="15.75" customHeight="1" x14ac:dyDescent="0.2">
      <c r="A36" s="497" t="s">
        <v>203</v>
      </c>
      <c r="B36" s="495"/>
      <c r="C36" s="495"/>
      <c r="D36" s="495"/>
      <c r="E36" s="495"/>
      <c r="F36" s="495" t="s">
        <v>20</v>
      </c>
      <c r="G36" s="495"/>
      <c r="H36" s="496"/>
    </row>
    <row r="37" spans="1:8" x14ac:dyDescent="0.2">
      <c r="A37" s="187"/>
      <c r="H37" s="188"/>
    </row>
    <row r="38" spans="1:8" x14ac:dyDescent="0.2">
      <c r="A38" s="187"/>
      <c r="H38" s="188"/>
    </row>
    <row r="39" spans="1:8" ht="15.75" customHeight="1" x14ac:dyDescent="0.2">
      <c r="A39" s="490" t="s">
        <v>21</v>
      </c>
      <c r="B39" s="491"/>
      <c r="C39" s="491"/>
      <c r="D39" s="491"/>
      <c r="E39" s="491"/>
      <c r="F39" s="491" t="s">
        <v>22</v>
      </c>
      <c r="G39" s="491"/>
      <c r="H39" s="492"/>
    </row>
    <row r="40" spans="1:8" ht="15.75" customHeight="1" x14ac:dyDescent="0.2">
      <c r="A40" s="454" t="s">
        <v>23</v>
      </c>
      <c r="B40" s="455"/>
      <c r="C40" s="455"/>
      <c r="D40" s="455"/>
      <c r="E40" s="455"/>
      <c r="F40" s="455" t="s">
        <v>24</v>
      </c>
      <c r="G40" s="455"/>
      <c r="H40" s="456"/>
    </row>
    <row r="41" spans="1:8" x14ac:dyDescent="0.2">
      <c r="A41" s="208" t="s">
        <v>322</v>
      </c>
      <c r="B41" s="185"/>
      <c r="C41" s="185"/>
      <c r="D41" s="185"/>
      <c r="E41" s="185"/>
      <c r="F41" s="185"/>
      <c r="G41" s="185"/>
      <c r="H41" s="186"/>
    </row>
    <row r="42" spans="1:8" x14ac:dyDescent="0.2">
      <c r="A42" s="237" t="s">
        <v>323</v>
      </c>
      <c r="G42" s="209" t="s">
        <v>195</v>
      </c>
      <c r="H42" s="238"/>
    </row>
    <row r="43" spans="1:8" x14ac:dyDescent="0.2">
      <c r="A43" s="210"/>
      <c r="G43" s="209" t="s">
        <v>186</v>
      </c>
      <c r="H43" s="188"/>
    </row>
    <row r="44" spans="1:8" x14ac:dyDescent="0.2">
      <c r="A44" s="187"/>
      <c r="H44" s="188"/>
    </row>
    <row r="45" spans="1:8" x14ac:dyDescent="0.2">
      <c r="A45" s="187"/>
      <c r="H45" s="188"/>
    </row>
    <row r="46" spans="1:8" ht="15.75" thickBot="1" x14ac:dyDescent="0.25">
      <c r="A46" s="187"/>
      <c r="G46" s="211"/>
      <c r="H46" s="212"/>
    </row>
    <row r="47" spans="1:8" x14ac:dyDescent="0.2">
      <c r="A47" s="187"/>
      <c r="G47" s="493" t="s">
        <v>26</v>
      </c>
      <c r="H47" s="494"/>
    </row>
    <row r="48" spans="1:8" x14ac:dyDescent="0.2">
      <c r="A48" s="192"/>
      <c r="B48" s="193"/>
      <c r="C48" s="193"/>
      <c r="D48" s="193"/>
      <c r="E48" s="193"/>
      <c r="F48" s="193"/>
      <c r="G48" s="193"/>
      <c r="H48" s="194"/>
    </row>
    <row r="49" spans="1:1" x14ac:dyDescent="0.2">
      <c r="A49" s="185"/>
    </row>
  </sheetData>
  <mergeCells count="34"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  <mergeCell ref="F30:G30"/>
    <mergeCell ref="A13:F13"/>
    <mergeCell ref="G13:H13"/>
    <mergeCell ref="A22:E22"/>
    <mergeCell ref="F22:G22"/>
    <mergeCell ref="F23:G23"/>
    <mergeCell ref="F24:G24"/>
    <mergeCell ref="F25:G25"/>
    <mergeCell ref="F26:G26"/>
    <mergeCell ref="F27:G27"/>
    <mergeCell ref="F28:G28"/>
    <mergeCell ref="F29:G29"/>
    <mergeCell ref="A40:E40"/>
    <mergeCell ref="F40:H40"/>
    <mergeCell ref="G47:H47"/>
    <mergeCell ref="E34:G34"/>
    <mergeCell ref="A35:D35"/>
    <mergeCell ref="E35:G35"/>
    <mergeCell ref="A36:E36"/>
    <mergeCell ref="F36:H36"/>
    <mergeCell ref="A39:E39"/>
    <mergeCell ref="F39:H39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6321" r:id="rId4" name="Check Box 1">
              <controlPr defaultSize="0" autoFill="0" autoLine="0" autoPict="0">
                <anchor moveWithCells="1">
                  <from>
                    <xdr:col>2</xdr:col>
                    <xdr:colOff>133350</xdr:colOff>
                    <xdr:row>5</xdr:row>
                    <xdr:rowOff>123825</xdr:rowOff>
                  </from>
                  <to>
                    <xdr:col>2</xdr:col>
                    <xdr:colOff>371475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6322" r:id="rId5" name="Check Box 2">
              <controlPr defaultSize="0" autoFill="0" autoLine="0" autoPict="0">
                <anchor moveWithCells="1">
                  <from>
                    <xdr:col>4</xdr:col>
                    <xdr:colOff>209550</xdr:colOff>
                    <xdr:row>5</xdr:row>
                    <xdr:rowOff>114300</xdr:rowOff>
                  </from>
                  <to>
                    <xdr:col>4</xdr:col>
                    <xdr:colOff>447675</xdr:colOff>
                    <xdr:row>13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8D5A-BE18-4A62-A4DF-EF3873922430}">
  <dimension ref="A1:J49"/>
  <sheetViews>
    <sheetView workbookViewId="0">
      <selection sqref="A1:XFD1048576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0.5703125" style="41" customWidth="1"/>
    <col min="7" max="7" width="13.42578125" style="41" customWidth="1"/>
    <col min="8" max="8" width="24.4257812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343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46064</v>
      </c>
      <c r="I10" s="215"/>
    </row>
    <row r="11" spans="1:9" ht="15.75" x14ac:dyDescent="0.25">
      <c r="A11" s="470" t="s">
        <v>187</v>
      </c>
      <c r="B11" s="471"/>
      <c r="C11" s="474" t="s">
        <v>215</v>
      </c>
      <c r="D11" s="474"/>
      <c r="E11" s="474"/>
      <c r="F11" s="464"/>
      <c r="G11" s="447" t="s">
        <v>188</v>
      </c>
      <c r="H11" s="234" t="s">
        <v>216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217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 t="s">
        <v>262</v>
      </c>
      <c r="B15" s="220"/>
      <c r="C15" s="220"/>
      <c r="D15" s="220"/>
      <c r="E15" s="220"/>
      <c r="F15" s="221"/>
      <c r="G15" s="187"/>
      <c r="H15" s="188"/>
    </row>
    <row r="16" spans="1:9" ht="15.75" x14ac:dyDescent="0.2">
      <c r="A16" s="272" t="s">
        <v>339</v>
      </c>
      <c r="B16" s="70"/>
      <c r="C16" s="70"/>
      <c r="D16" s="70"/>
      <c r="E16" s="70"/>
      <c r="F16" s="219"/>
      <c r="G16" s="224"/>
      <c r="H16" s="225">
        <v>2113.3000000000002</v>
      </c>
    </row>
    <row r="17" spans="1:10" x14ac:dyDescent="0.2">
      <c r="A17" s="272" t="s">
        <v>340</v>
      </c>
      <c r="B17" s="70"/>
      <c r="C17" s="70"/>
      <c r="D17" s="70"/>
      <c r="E17" s="70"/>
      <c r="F17" s="219"/>
      <c r="G17" s="187"/>
      <c r="H17" s="188"/>
    </row>
    <row r="18" spans="1:10" x14ac:dyDescent="0.2">
      <c r="A18" s="272"/>
      <c r="F18" s="188"/>
      <c r="G18" s="187"/>
      <c r="H18" s="188"/>
    </row>
    <row r="19" spans="1:10" x14ac:dyDescent="0.2">
      <c r="A19" s="272"/>
      <c r="F19" s="188"/>
      <c r="G19" s="187"/>
      <c r="H19" s="188"/>
    </row>
    <row r="20" spans="1:10" x14ac:dyDescent="0.2">
      <c r="A20" s="272"/>
      <c r="F20" s="188"/>
      <c r="G20" s="187"/>
      <c r="H20" s="188"/>
    </row>
    <row r="21" spans="1:10" x14ac:dyDescent="0.2">
      <c r="A21" s="272"/>
      <c r="F21" s="188"/>
      <c r="G21" s="187"/>
      <c r="H21" s="188"/>
    </row>
    <row r="22" spans="1:10" x14ac:dyDescent="0.2">
      <c r="A22" s="272"/>
      <c r="F22" s="188"/>
      <c r="G22" s="187"/>
      <c r="H22" s="188"/>
    </row>
    <row r="23" spans="1:10" x14ac:dyDescent="0.2">
      <c r="A23" s="192"/>
      <c r="B23" s="193"/>
      <c r="C23" s="193"/>
      <c r="D23" s="193"/>
      <c r="E23" s="193"/>
      <c r="F23" s="194"/>
      <c r="G23" s="192"/>
      <c r="H23" s="194"/>
    </row>
    <row r="24" spans="1:10" x14ac:dyDescent="0.2">
      <c r="A24" s="192"/>
      <c r="B24" s="193"/>
      <c r="C24" s="193"/>
      <c r="D24" s="193"/>
      <c r="E24" s="193"/>
      <c r="F24" s="193"/>
      <c r="G24" s="193"/>
      <c r="H24" s="194"/>
    </row>
    <row r="25" spans="1:10" ht="15.75" x14ac:dyDescent="0.25">
      <c r="A25" s="477" t="s">
        <v>191</v>
      </c>
      <c r="B25" s="481"/>
      <c r="C25" s="481"/>
      <c r="D25" s="481"/>
      <c r="E25" s="480"/>
      <c r="F25" s="482" t="s">
        <v>192</v>
      </c>
      <c r="G25" s="483"/>
      <c r="H25" s="195" t="s">
        <v>193</v>
      </c>
    </row>
    <row r="26" spans="1:10" x14ac:dyDescent="0.2">
      <c r="A26" s="226" t="s">
        <v>226</v>
      </c>
      <c r="B26" s="197"/>
      <c r="C26" s="197"/>
      <c r="D26" s="197"/>
      <c r="E26" s="197"/>
      <c r="F26" s="484">
        <v>2113.3000000000002</v>
      </c>
      <c r="G26" s="484"/>
      <c r="H26" s="283"/>
      <c r="J26" s="41" t="s">
        <v>196</v>
      </c>
    </row>
    <row r="27" spans="1:10" x14ac:dyDescent="0.2">
      <c r="A27" s="196"/>
      <c r="B27" s="231" t="s">
        <v>36</v>
      </c>
      <c r="C27" s="197"/>
      <c r="D27" s="197"/>
      <c r="E27" s="197"/>
      <c r="F27" s="485"/>
      <c r="G27" s="485"/>
      <c r="H27" s="230">
        <f>SUM(F26)</f>
        <v>2113.3000000000002</v>
      </c>
    </row>
    <row r="28" spans="1:10" x14ac:dyDescent="0.2">
      <c r="A28" s="196"/>
      <c r="B28" s="197"/>
      <c r="C28" s="197"/>
      <c r="D28" s="197"/>
      <c r="E28" s="197"/>
      <c r="F28" s="486"/>
      <c r="G28" s="486"/>
      <c r="H28" s="227"/>
    </row>
    <row r="29" spans="1:10" x14ac:dyDescent="0.2">
      <c r="A29" s="196"/>
      <c r="B29" s="197"/>
      <c r="C29" s="197"/>
      <c r="D29" s="197"/>
      <c r="E29" s="197"/>
      <c r="F29" s="486"/>
      <c r="G29" s="486"/>
      <c r="H29" s="227"/>
    </row>
    <row r="30" spans="1:10" x14ac:dyDescent="0.2">
      <c r="A30" s="196"/>
      <c r="B30" s="197"/>
      <c r="C30" s="197"/>
      <c r="D30" s="197"/>
      <c r="E30" s="199"/>
      <c r="F30" s="486"/>
      <c r="G30" s="486"/>
      <c r="H30" s="227"/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13</v>
      </c>
      <c r="F32" s="201"/>
      <c r="G32" s="202"/>
      <c r="H32" s="203" t="s">
        <v>14</v>
      </c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187"/>
      <c r="D34" s="188"/>
      <c r="E34" s="187"/>
      <c r="G34" s="188"/>
      <c r="H34" s="204"/>
    </row>
    <row r="35" spans="1:8" x14ac:dyDescent="0.2">
      <c r="A35" s="232" t="s">
        <v>15</v>
      </c>
      <c r="B35" s="205"/>
      <c r="C35" s="205"/>
      <c r="D35" s="206"/>
      <c r="E35" s="487" t="s">
        <v>5</v>
      </c>
      <c r="F35" s="48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H38" s="188"/>
    </row>
    <row r="39" spans="1:8" x14ac:dyDescent="0.2">
      <c r="A39" s="187"/>
      <c r="H39" s="188"/>
    </row>
    <row r="40" spans="1:8" ht="15.75" customHeight="1" x14ac:dyDescent="0.2">
      <c r="A40" s="490" t="s">
        <v>21</v>
      </c>
      <c r="B40" s="491"/>
      <c r="C40" s="491"/>
      <c r="D40" s="491"/>
      <c r="E40" s="491"/>
      <c r="F40" s="491" t="s">
        <v>22</v>
      </c>
      <c r="G40" s="491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341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236" t="s">
        <v>342</v>
      </c>
      <c r="G43" s="209" t="s">
        <v>195</v>
      </c>
      <c r="H43" s="238"/>
    </row>
    <row r="44" spans="1:8" x14ac:dyDescent="0.2">
      <c r="A44" s="210"/>
      <c r="G44" s="209" t="s">
        <v>186</v>
      </c>
      <c r="H44" s="188"/>
    </row>
    <row r="45" spans="1:8" x14ac:dyDescent="0.2">
      <c r="A45" s="187"/>
      <c r="H45" s="188"/>
    </row>
    <row r="46" spans="1:8" x14ac:dyDescent="0.2">
      <c r="A46" s="187"/>
      <c r="H46" s="188"/>
    </row>
    <row r="47" spans="1:8" ht="15.75" thickBot="1" x14ac:dyDescent="0.25">
      <c r="A47" s="187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2"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  <mergeCell ref="A36:D36"/>
    <mergeCell ref="E36:G36"/>
    <mergeCell ref="A13:F13"/>
    <mergeCell ref="G13:H13"/>
    <mergeCell ref="A25:E25"/>
    <mergeCell ref="F25:G25"/>
    <mergeCell ref="F26:G26"/>
    <mergeCell ref="F27:G27"/>
    <mergeCell ref="F28:G28"/>
    <mergeCell ref="F29:G29"/>
    <mergeCell ref="F30:G30"/>
    <mergeCell ref="F31:G31"/>
    <mergeCell ref="E35:G35"/>
    <mergeCell ref="G48:H48"/>
    <mergeCell ref="A37:E37"/>
    <mergeCell ref="F37:H37"/>
    <mergeCell ref="A40:E40"/>
    <mergeCell ref="F40:H40"/>
    <mergeCell ref="A41:E41"/>
    <mergeCell ref="F41:H41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81" r:id="rId4" name="Check Box 1">
              <controlPr defaultSize="0" autoFill="0" autoLine="0" autoPict="0">
                <anchor moveWithCells="1">
                  <from>
                    <xdr:col>2</xdr:col>
                    <xdr:colOff>133350</xdr:colOff>
                    <xdr:row>6</xdr:row>
                    <xdr:rowOff>152400</xdr:rowOff>
                  </from>
                  <to>
                    <xdr:col>2</xdr:col>
                    <xdr:colOff>371475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682" r:id="rId5" name="Check Box 2">
              <controlPr defaultSize="0" autoFill="0" autoLine="0" autoPict="0">
                <anchor moveWithCells="1">
                  <from>
                    <xdr:col>4</xdr:col>
                    <xdr:colOff>209550</xdr:colOff>
                    <xdr:row>6</xdr:row>
                    <xdr:rowOff>152400</xdr:rowOff>
                  </from>
                  <to>
                    <xdr:col>4</xdr:col>
                    <xdr:colOff>447675</xdr:colOff>
                    <xdr:row>12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EFC4A-84C2-42B9-9324-CAE50F517142}">
  <sheetPr>
    <pageSetUpPr fitToPage="1"/>
  </sheetPr>
  <dimension ref="A1:E69"/>
  <sheetViews>
    <sheetView workbookViewId="0">
      <selection sqref="A1:XFD1048576"/>
    </sheetView>
  </sheetViews>
  <sheetFormatPr defaultRowHeight="15" x14ac:dyDescent="0.25"/>
  <cols>
    <col min="1" max="1" width="12.5703125" style="269" customWidth="1"/>
    <col min="2" max="2" width="11.140625" style="245" customWidth="1"/>
    <col min="3" max="3" width="37" style="21" customWidth="1"/>
    <col min="4" max="4" width="25.140625" style="285" customWidth="1"/>
    <col min="5" max="5" width="15.28515625" style="270" customWidth="1"/>
  </cols>
  <sheetData>
    <row r="1" spans="1:5" x14ac:dyDescent="0.25">
      <c r="A1" s="239"/>
      <c r="B1" s="240"/>
      <c r="C1" s="241"/>
      <c r="D1" s="242"/>
      <c r="E1" s="243"/>
    </row>
    <row r="2" spans="1:5" x14ac:dyDescent="0.25">
      <c r="A2" s="244"/>
      <c r="E2" s="247"/>
    </row>
    <row r="3" spans="1:5" x14ac:dyDescent="0.25">
      <c r="A3" s="244"/>
      <c r="E3" s="247"/>
    </row>
    <row r="4" spans="1:5" x14ac:dyDescent="0.25">
      <c r="A4" s="244"/>
      <c r="E4" s="247"/>
    </row>
    <row r="5" spans="1:5" x14ac:dyDescent="0.25">
      <c r="A5" s="505" t="s">
        <v>0</v>
      </c>
      <c r="B5" s="506"/>
      <c r="C5" s="506"/>
      <c r="D5" s="506"/>
      <c r="E5" s="507"/>
    </row>
    <row r="6" spans="1:5" x14ac:dyDescent="0.25">
      <c r="A6" s="508" t="s">
        <v>52</v>
      </c>
      <c r="B6" s="509"/>
      <c r="C6" s="509"/>
      <c r="D6" s="509"/>
      <c r="E6" s="510"/>
    </row>
    <row r="7" spans="1:5" x14ac:dyDescent="0.25">
      <c r="A7" s="511" t="s">
        <v>2</v>
      </c>
      <c r="B7" s="512"/>
      <c r="C7" s="512"/>
      <c r="D7" s="512"/>
      <c r="E7" s="513"/>
    </row>
    <row r="8" spans="1:5" x14ac:dyDescent="0.25">
      <c r="A8" s="514" t="s">
        <v>223</v>
      </c>
      <c r="B8" s="515"/>
      <c r="C8" s="515"/>
      <c r="D8" s="515"/>
      <c r="E8" s="516"/>
    </row>
    <row r="9" spans="1:5" x14ac:dyDescent="0.25">
      <c r="A9" s="517"/>
      <c r="B9" s="518"/>
      <c r="C9" s="518"/>
      <c r="D9" s="518"/>
      <c r="E9" s="519"/>
    </row>
    <row r="10" spans="1:5" s="252" customFormat="1" ht="30.75" customHeight="1" x14ac:dyDescent="0.25">
      <c r="A10" s="248" t="s">
        <v>224</v>
      </c>
      <c r="B10" s="249" t="s">
        <v>225</v>
      </c>
      <c r="C10" s="250" t="s">
        <v>189</v>
      </c>
      <c r="D10" s="249" t="s">
        <v>30</v>
      </c>
      <c r="E10" s="251" t="s">
        <v>226</v>
      </c>
    </row>
    <row r="11" spans="1:5" x14ac:dyDescent="0.25">
      <c r="A11" s="239">
        <v>46062</v>
      </c>
      <c r="B11" s="240" t="s">
        <v>327</v>
      </c>
      <c r="C11" s="241" t="s">
        <v>324</v>
      </c>
      <c r="D11" s="273" t="s">
        <v>325</v>
      </c>
      <c r="E11" s="274">
        <v>475</v>
      </c>
    </row>
    <row r="12" spans="1:5" x14ac:dyDescent="0.25">
      <c r="A12" s="244">
        <v>46063</v>
      </c>
      <c r="B12" s="292" t="s">
        <v>328</v>
      </c>
      <c r="C12" s="21" t="s">
        <v>326</v>
      </c>
      <c r="D12" s="253" t="s">
        <v>332</v>
      </c>
      <c r="E12" s="247">
        <v>716</v>
      </c>
    </row>
    <row r="13" spans="1:5" x14ac:dyDescent="0.25">
      <c r="A13" s="244"/>
      <c r="B13" s="292" t="s">
        <v>329</v>
      </c>
      <c r="C13" s="21" t="s">
        <v>333</v>
      </c>
      <c r="D13" s="253" t="s">
        <v>334</v>
      </c>
      <c r="E13" s="247">
        <v>234.5</v>
      </c>
    </row>
    <row r="14" spans="1:5" x14ac:dyDescent="0.25">
      <c r="A14" s="244"/>
      <c r="B14" s="292" t="s">
        <v>330</v>
      </c>
      <c r="C14" s="21" t="s">
        <v>335</v>
      </c>
      <c r="D14" s="253" t="s">
        <v>336</v>
      </c>
      <c r="E14" s="247">
        <v>167.8</v>
      </c>
    </row>
    <row r="15" spans="1:5" x14ac:dyDescent="0.25">
      <c r="A15" s="244"/>
      <c r="B15" s="292" t="s">
        <v>331</v>
      </c>
      <c r="C15" s="21" t="s">
        <v>337</v>
      </c>
      <c r="D15" s="253" t="s">
        <v>338</v>
      </c>
      <c r="E15" s="247">
        <v>520</v>
      </c>
    </row>
    <row r="16" spans="1:5" x14ac:dyDescent="0.25">
      <c r="A16" s="244"/>
      <c r="B16" s="292"/>
      <c r="D16" s="253"/>
      <c r="E16" s="247"/>
    </row>
    <row r="17" spans="1:5" x14ac:dyDescent="0.25">
      <c r="A17" s="244"/>
      <c r="B17" s="292"/>
      <c r="D17" s="253"/>
      <c r="E17" s="247"/>
    </row>
    <row r="18" spans="1:5" x14ac:dyDescent="0.25">
      <c r="A18" s="244"/>
      <c r="B18" s="292"/>
      <c r="D18" s="253"/>
      <c r="E18" s="247"/>
    </row>
    <row r="19" spans="1:5" x14ac:dyDescent="0.25">
      <c r="A19" s="244"/>
      <c r="B19" s="292"/>
      <c r="D19" s="253"/>
      <c r="E19" s="247"/>
    </row>
    <row r="20" spans="1:5" x14ac:dyDescent="0.25">
      <c r="A20" s="244"/>
      <c r="B20" s="292"/>
      <c r="E20" s="247"/>
    </row>
    <row r="21" spans="1:5" x14ac:dyDescent="0.25">
      <c r="A21" s="244"/>
      <c r="B21" s="292"/>
      <c r="D21" s="253"/>
      <c r="E21" s="254"/>
    </row>
    <row r="22" spans="1:5" x14ac:dyDescent="0.25">
      <c r="A22" s="244"/>
      <c r="B22" s="292"/>
      <c r="D22" s="255"/>
      <c r="E22" s="256"/>
    </row>
    <row r="23" spans="1:5" x14ac:dyDescent="0.25">
      <c r="A23" s="244"/>
      <c r="D23" s="255"/>
      <c r="E23" s="256"/>
    </row>
    <row r="24" spans="1:5" x14ac:dyDescent="0.25">
      <c r="A24" s="244"/>
      <c r="D24" s="255"/>
      <c r="E24" s="256"/>
    </row>
    <row r="25" spans="1:5" x14ac:dyDescent="0.25">
      <c r="A25" s="244"/>
      <c r="D25" s="255"/>
      <c r="E25" s="256"/>
    </row>
    <row r="26" spans="1:5" x14ac:dyDescent="0.25">
      <c r="A26" s="244"/>
      <c r="D26" s="255"/>
      <c r="E26" s="256"/>
    </row>
    <row r="27" spans="1:5" x14ac:dyDescent="0.25">
      <c r="A27" s="244"/>
      <c r="D27" s="255"/>
      <c r="E27" s="256"/>
    </row>
    <row r="28" spans="1:5" x14ac:dyDescent="0.25">
      <c r="A28" s="244"/>
      <c r="D28" s="255"/>
      <c r="E28" s="256"/>
    </row>
    <row r="29" spans="1:5" x14ac:dyDescent="0.25">
      <c r="A29" s="244"/>
      <c r="D29" s="255"/>
      <c r="E29" s="256"/>
    </row>
    <row r="30" spans="1:5" x14ac:dyDescent="0.25">
      <c r="A30" s="244"/>
      <c r="D30" s="255"/>
      <c r="E30" s="256"/>
    </row>
    <row r="31" spans="1:5" x14ac:dyDescent="0.25">
      <c r="A31" s="244"/>
      <c r="D31" s="255"/>
      <c r="E31" s="256"/>
    </row>
    <row r="32" spans="1:5" x14ac:dyDescent="0.25">
      <c r="A32" s="244"/>
      <c r="D32" s="255"/>
      <c r="E32" s="256"/>
    </row>
    <row r="33" spans="1:5" x14ac:dyDescent="0.25">
      <c r="A33" s="244"/>
      <c r="E33" s="247"/>
    </row>
    <row r="34" spans="1:5" x14ac:dyDescent="0.25">
      <c r="A34" s="244"/>
      <c r="D34" s="255"/>
      <c r="E34" s="257"/>
    </row>
    <row r="35" spans="1:5" x14ac:dyDescent="0.25">
      <c r="A35" s="244"/>
      <c r="D35" s="255"/>
      <c r="E35" s="257"/>
    </row>
    <row r="36" spans="1:5" x14ac:dyDescent="0.25">
      <c r="A36" s="244"/>
      <c r="D36" s="255"/>
      <c r="E36" s="257"/>
    </row>
    <row r="37" spans="1:5" x14ac:dyDescent="0.25">
      <c r="A37" s="244"/>
      <c r="D37" s="255"/>
      <c r="E37" s="257"/>
    </row>
    <row r="38" spans="1:5" x14ac:dyDescent="0.25">
      <c r="A38" s="244"/>
      <c r="D38" s="255"/>
      <c r="E38" s="257"/>
    </row>
    <row r="39" spans="1:5" x14ac:dyDescent="0.25">
      <c r="A39" s="244"/>
      <c r="D39" s="255"/>
      <c r="E39" s="257"/>
    </row>
    <row r="40" spans="1:5" x14ac:dyDescent="0.25">
      <c r="A40" s="244"/>
      <c r="D40" s="255"/>
      <c r="E40" s="257"/>
    </row>
    <row r="41" spans="1:5" x14ac:dyDescent="0.25">
      <c r="A41" s="244"/>
      <c r="D41" s="255"/>
      <c r="E41" s="257"/>
    </row>
    <row r="42" spans="1:5" x14ac:dyDescent="0.25">
      <c r="A42" s="244"/>
      <c r="D42" s="255"/>
      <c r="E42" s="257"/>
    </row>
    <row r="43" spans="1:5" x14ac:dyDescent="0.25">
      <c r="A43" s="244"/>
      <c r="D43" s="255"/>
      <c r="E43" s="257"/>
    </row>
    <row r="44" spans="1:5" ht="15.75" x14ac:dyDescent="0.25">
      <c r="A44" s="244"/>
      <c r="D44" s="47" t="s">
        <v>32</v>
      </c>
      <c r="E44" s="258">
        <f>SUM(E11:E21)</f>
        <v>2113.3000000000002</v>
      </c>
    </row>
    <row r="45" spans="1:5" ht="15.75" x14ac:dyDescent="0.25">
      <c r="A45" s="244"/>
      <c r="D45" s="47"/>
      <c r="E45" s="258"/>
    </row>
    <row r="46" spans="1:5" x14ac:dyDescent="0.25">
      <c r="A46" s="244"/>
      <c r="E46" s="247"/>
    </row>
    <row r="47" spans="1:5" x14ac:dyDescent="0.25">
      <c r="A47" s="259"/>
      <c r="B47" s="260"/>
      <c r="C47" s="261"/>
      <c r="D47" s="262"/>
      <c r="E47" s="263"/>
    </row>
    <row r="48" spans="1:5" ht="15.75" x14ac:dyDescent="0.25">
      <c r="A48" s="264" t="s">
        <v>12</v>
      </c>
      <c r="B48" s="265"/>
      <c r="C48" s="201"/>
      <c r="D48" s="266" t="s">
        <v>260</v>
      </c>
      <c r="E48" s="243"/>
    </row>
    <row r="49" spans="1:5" ht="15.75" x14ac:dyDescent="0.25">
      <c r="A49" s="267"/>
      <c r="B49" s="268"/>
      <c r="C49" s="41"/>
      <c r="D49" s="41"/>
      <c r="E49" s="247"/>
    </row>
    <row r="50" spans="1:5" ht="15.75" x14ac:dyDescent="0.25">
      <c r="A50" s="267"/>
      <c r="B50" s="268"/>
      <c r="C50" s="41"/>
      <c r="D50" s="41"/>
      <c r="E50" s="247"/>
    </row>
    <row r="51" spans="1:5" x14ac:dyDescent="0.25">
      <c r="A51" s="520" t="s">
        <v>15</v>
      </c>
      <c r="B51" s="521"/>
      <c r="C51" s="521"/>
      <c r="D51" s="488" t="s">
        <v>5</v>
      </c>
      <c r="E51" s="489"/>
    </row>
    <row r="52" spans="1:5" x14ac:dyDescent="0.25">
      <c r="A52" s="503" t="s">
        <v>17</v>
      </c>
      <c r="B52" s="504"/>
      <c r="C52" s="504"/>
      <c r="D52" s="455" t="s">
        <v>18</v>
      </c>
      <c r="E52" s="456"/>
    </row>
    <row r="53" spans="1:5" x14ac:dyDescent="0.25">
      <c r="A53" s="497" t="s">
        <v>261</v>
      </c>
      <c r="B53" s="495"/>
      <c r="C53" s="495"/>
      <c r="D53" s="495"/>
      <c r="E53" s="496"/>
    </row>
    <row r="54" spans="1:5" ht="15.75" x14ac:dyDescent="0.25">
      <c r="A54" s="267"/>
      <c r="B54" s="268"/>
      <c r="C54" s="41"/>
      <c r="D54" s="41"/>
      <c r="E54" s="188"/>
    </row>
    <row r="55" spans="1:5" ht="15.75" x14ac:dyDescent="0.25">
      <c r="A55" s="267"/>
      <c r="B55" s="268"/>
      <c r="C55" s="41"/>
      <c r="D55" s="41"/>
      <c r="E55" s="188"/>
    </row>
    <row r="56" spans="1:5" x14ac:dyDescent="0.25">
      <c r="A56" s="490" t="s">
        <v>22</v>
      </c>
      <c r="B56" s="491"/>
      <c r="C56" s="491"/>
      <c r="D56" s="491"/>
      <c r="E56" s="492"/>
    </row>
    <row r="57" spans="1:5" x14ac:dyDescent="0.25">
      <c r="A57" s="454" t="s">
        <v>24</v>
      </c>
      <c r="B57" s="455"/>
      <c r="C57" s="455"/>
      <c r="D57" s="455"/>
      <c r="E57" s="456"/>
    </row>
    <row r="62" spans="1:5" x14ac:dyDescent="0.25">
      <c r="C62" s="501"/>
      <c r="D62" s="501"/>
    </row>
    <row r="63" spans="1:5" x14ac:dyDescent="0.25">
      <c r="C63" s="500"/>
      <c r="D63" s="500"/>
    </row>
    <row r="64" spans="1:5" x14ac:dyDescent="0.25">
      <c r="C64" s="284"/>
      <c r="D64" s="253"/>
    </row>
    <row r="68" spans="3:4" x14ac:dyDescent="0.25">
      <c r="C68" s="501"/>
      <c r="D68" s="501"/>
    </row>
    <row r="69" spans="3:4" x14ac:dyDescent="0.25">
      <c r="C69" s="502"/>
      <c r="D69" s="502"/>
    </row>
  </sheetData>
  <mergeCells count="15">
    <mergeCell ref="A5:E5"/>
    <mergeCell ref="A6:E6"/>
    <mergeCell ref="A7:E7"/>
    <mergeCell ref="A8:E9"/>
    <mergeCell ref="A51:C51"/>
    <mergeCell ref="D51:E51"/>
    <mergeCell ref="C63:D63"/>
    <mergeCell ref="C68:D68"/>
    <mergeCell ref="C69:D69"/>
    <mergeCell ref="A52:C52"/>
    <mergeCell ref="D52:E52"/>
    <mergeCell ref="A53:E53"/>
    <mergeCell ref="A56:E56"/>
    <mergeCell ref="A57:E57"/>
    <mergeCell ref="C62:D62"/>
  </mergeCells>
  <phoneticPr fontId="38" type="noConversion"/>
  <pageMargins left="0.7" right="0.7" top="0.75" bottom="0.75" header="0.3" footer="0.3"/>
  <pageSetup paperSize="9" scale="86" fitToHeight="0"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0C3EF-8F7A-4738-95D6-372107286813}">
  <dimension ref="A1:J49"/>
  <sheetViews>
    <sheetView workbookViewId="0">
      <selection activeCell="C11" sqref="C11:H12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0.5703125" style="41" customWidth="1"/>
    <col min="7" max="7" width="13.42578125" style="41" customWidth="1"/>
    <col min="8" max="8" width="24.4257812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344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46064</v>
      </c>
      <c r="I10" s="215"/>
    </row>
    <row r="11" spans="1:9" ht="15.75" x14ac:dyDescent="0.25">
      <c r="A11" s="470" t="s">
        <v>187</v>
      </c>
      <c r="B11" s="471"/>
      <c r="C11" s="474" t="s">
        <v>215</v>
      </c>
      <c r="D11" s="474"/>
      <c r="E11" s="474"/>
      <c r="F11" s="464"/>
      <c r="G11" s="447" t="s">
        <v>188</v>
      </c>
      <c r="H11" s="234" t="s">
        <v>216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217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 t="s">
        <v>345</v>
      </c>
      <c r="B15" s="220"/>
      <c r="C15" s="220"/>
      <c r="D15" s="220"/>
      <c r="E15" s="220"/>
      <c r="F15" s="221"/>
      <c r="G15" s="187"/>
      <c r="H15" s="188"/>
    </row>
    <row r="16" spans="1:9" ht="15.75" x14ac:dyDescent="0.2">
      <c r="A16" s="218" t="s">
        <v>346</v>
      </c>
      <c r="B16" s="70"/>
      <c r="C16" s="70"/>
      <c r="D16" s="70"/>
      <c r="E16" s="70"/>
      <c r="F16" s="219"/>
      <c r="G16" s="224"/>
      <c r="H16" s="225">
        <v>285</v>
      </c>
    </row>
    <row r="17" spans="1:10" x14ac:dyDescent="0.2">
      <c r="A17" s="272" t="s">
        <v>347</v>
      </c>
      <c r="B17" s="70"/>
      <c r="C17" s="70"/>
      <c r="D17" s="70"/>
      <c r="E17" s="70"/>
      <c r="F17" s="219"/>
      <c r="G17" s="187"/>
      <c r="H17" s="188"/>
    </row>
    <row r="18" spans="1:10" x14ac:dyDescent="0.2">
      <c r="A18" s="272"/>
      <c r="F18" s="188"/>
      <c r="G18" s="187"/>
      <c r="H18" s="188"/>
    </row>
    <row r="19" spans="1:10" x14ac:dyDescent="0.2">
      <c r="A19" s="272"/>
      <c r="F19" s="188"/>
      <c r="G19" s="187"/>
      <c r="H19" s="188"/>
    </row>
    <row r="20" spans="1:10" x14ac:dyDescent="0.2">
      <c r="A20" s="272"/>
      <c r="F20" s="188"/>
      <c r="G20" s="187"/>
      <c r="H20" s="188"/>
    </row>
    <row r="21" spans="1:10" x14ac:dyDescent="0.2">
      <c r="A21" s="272"/>
      <c r="F21" s="188"/>
      <c r="G21" s="187"/>
      <c r="H21" s="188"/>
    </row>
    <row r="22" spans="1:10" x14ac:dyDescent="0.2">
      <c r="A22" s="272"/>
      <c r="F22" s="188"/>
      <c r="G22" s="187"/>
      <c r="H22" s="188"/>
    </row>
    <row r="23" spans="1:10" x14ac:dyDescent="0.2">
      <c r="A23" s="192"/>
      <c r="B23" s="193"/>
      <c r="C23" s="193"/>
      <c r="D23" s="193"/>
      <c r="E23" s="193"/>
      <c r="F23" s="194"/>
      <c r="G23" s="192"/>
      <c r="H23" s="194"/>
    </row>
    <row r="24" spans="1:10" x14ac:dyDescent="0.2">
      <c r="A24" s="192"/>
      <c r="B24" s="193"/>
      <c r="C24" s="193"/>
      <c r="D24" s="193"/>
      <c r="E24" s="193"/>
      <c r="F24" s="193"/>
      <c r="G24" s="193"/>
      <c r="H24" s="194"/>
    </row>
    <row r="25" spans="1:10" ht="15.75" x14ac:dyDescent="0.25">
      <c r="A25" s="477" t="s">
        <v>191</v>
      </c>
      <c r="B25" s="481"/>
      <c r="C25" s="481"/>
      <c r="D25" s="481"/>
      <c r="E25" s="480"/>
      <c r="F25" s="482" t="s">
        <v>192</v>
      </c>
      <c r="G25" s="483"/>
      <c r="H25" s="195" t="s">
        <v>193</v>
      </c>
    </row>
    <row r="26" spans="1:10" x14ac:dyDescent="0.2">
      <c r="A26" s="226" t="s">
        <v>348</v>
      </c>
      <c r="B26" s="197"/>
      <c r="C26" s="197"/>
      <c r="D26" s="197"/>
      <c r="E26" s="197"/>
      <c r="F26" s="484">
        <v>285</v>
      </c>
      <c r="G26" s="484"/>
      <c r="H26" s="283"/>
      <c r="J26" s="41" t="s">
        <v>196</v>
      </c>
    </row>
    <row r="27" spans="1:10" x14ac:dyDescent="0.2">
      <c r="A27" s="196"/>
      <c r="B27" s="231" t="s">
        <v>349</v>
      </c>
      <c r="C27" s="197"/>
      <c r="D27" s="197"/>
      <c r="E27" s="197"/>
      <c r="F27" s="485"/>
      <c r="G27" s="485"/>
      <c r="H27" s="230">
        <f>SUM(F26)</f>
        <v>285</v>
      </c>
    </row>
    <row r="28" spans="1:10" x14ac:dyDescent="0.2">
      <c r="A28" s="196"/>
      <c r="B28" s="197"/>
      <c r="C28" s="197"/>
      <c r="D28" s="197"/>
      <c r="E28" s="197"/>
      <c r="F28" s="486"/>
      <c r="G28" s="486"/>
      <c r="H28" s="227"/>
    </row>
    <row r="29" spans="1:10" x14ac:dyDescent="0.2">
      <c r="A29" s="196"/>
      <c r="B29" s="197"/>
      <c r="C29" s="197"/>
      <c r="D29" s="197"/>
      <c r="E29" s="197"/>
      <c r="F29" s="486"/>
      <c r="G29" s="486"/>
      <c r="H29" s="227"/>
    </row>
    <row r="30" spans="1:10" x14ac:dyDescent="0.2">
      <c r="A30" s="196"/>
      <c r="B30" s="197"/>
      <c r="C30" s="197"/>
      <c r="D30" s="197"/>
      <c r="E30" s="199"/>
      <c r="F30" s="486"/>
      <c r="G30" s="486"/>
      <c r="H30" s="227"/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13</v>
      </c>
      <c r="F32" s="201"/>
      <c r="G32" s="202"/>
      <c r="H32" s="203" t="s">
        <v>14</v>
      </c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187"/>
      <c r="D34" s="188"/>
      <c r="E34" s="187"/>
      <c r="G34" s="188"/>
      <c r="H34" s="204"/>
    </row>
    <row r="35" spans="1:8" x14ac:dyDescent="0.2">
      <c r="A35" s="232" t="s">
        <v>15</v>
      </c>
      <c r="B35" s="205"/>
      <c r="C35" s="205"/>
      <c r="D35" s="206"/>
      <c r="E35" s="487" t="s">
        <v>5</v>
      </c>
      <c r="F35" s="48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H38" s="188"/>
    </row>
    <row r="39" spans="1:8" x14ac:dyDescent="0.2">
      <c r="A39" s="187"/>
      <c r="H39" s="188"/>
    </row>
    <row r="40" spans="1:8" ht="15.75" customHeight="1" x14ac:dyDescent="0.2">
      <c r="A40" s="490" t="s">
        <v>21</v>
      </c>
      <c r="B40" s="491"/>
      <c r="C40" s="491"/>
      <c r="D40" s="491"/>
      <c r="E40" s="491"/>
      <c r="F40" s="491" t="s">
        <v>22</v>
      </c>
      <c r="G40" s="491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351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236" t="s">
        <v>350</v>
      </c>
      <c r="G43" s="209" t="s">
        <v>195</v>
      </c>
      <c r="H43" s="238"/>
    </row>
    <row r="44" spans="1:8" x14ac:dyDescent="0.2">
      <c r="A44" s="210"/>
      <c r="G44" s="209" t="s">
        <v>186</v>
      </c>
      <c r="H44" s="188"/>
    </row>
    <row r="45" spans="1:8" x14ac:dyDescent="0.2">
      <c r="A45" s="187"/>
      <c r="H45" s="188"/>
    </row>
    <row r="46" spans="1:8" x14ac:dyDescent="0.2">
      <c r="A46" s="187"/>
      <c r="H46" s="188"/>
    </row>
    <row r="47" spans="1:8" ht="15.75" thickBot="1" x14ac:dyDescent="0.25">
      <c r="A47" s="187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2"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  <mergeCell ref="A36:D36"/>
    <mergeCell ref="E36:G36"/>
    <mergeCell ref="A13:F13"/>
    <mergeCell ref="G13:H13"/>
    <mergeCell ref="A25:E25"/>
    <mergeCell ref="F25:G25"/>
    <mergeCell ref="F26:G26"/>
    <mergeCell ref="F27:G27"/>
    <mergeCell ref="F28:G28"/>
    <mergeCell ref="F29:G29"/>
    <mergeCell ref="F30:G30"/>
    <mergeCell ref="F31:G31"/>
    <mergeCell ref="E35:G35"/>
    <mergeCell ref="G48:H48"/>
    <mergeCell ref="A37:E37"/>
    <mergeCell ref="F37:H37"/>
    <mergeCell ref="A40:E40"/>
    <mergeCell ref="F40:H40"/>
    <mergeCell ref="A41:E41"/>
    <mergeCell ref="F41:H41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3729" r:id="rId4" name="Check Box 1">
              <controlPr defaultSize="0" autoFill="0" autoLine="0" autoPict="0">
                <anchor moveWithCells="1">
                  <from>
                    <xdr:col>2</xdr:col>
                    <xdr:colOff>133350</xdr:colOff>
                    <xdr:row>6</xdr:row>
                    <xdr:rowOff>38100</xdr:rowOff>
                  </from>
                  <to>
                    <xdr:col>2</xdr:col>
                    <xdr:colOff>371475</xdr:colOff>
                    <xdr:row>12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3730" r:id="rId5" name="Check Box 2">
              <controlPr defaultSize="0" autoFill="0" autoLine="0" autoPict="0">
                <anchor moveWithCells="1">
                  <from>
                    <xdr:col>4</xdr:col>
                    <xdr:colOff>200025</xdr:colOff>
                    <xdr:row>6</xdr:row>
                    <xdr:rowOff>28575</xdr:rowOff>
                  </from>
                  <to>
                    <xdr:col>4</xdr:col>
                    <xdr:colOff>438150</xdr:colOff>
                    <xdr:row>12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3F0D3-2D6D-4441-AB30-63D338D12687}">
  <dimension ref="A1:J49"/>
  <sheetViews>
    <sheetView workbookViewId="0">
      <selection sqref="A1:XFD1048576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1" style="41" customWidth="1"/>
    <col min="7" max="7" width="13.42578125" style="41" customWidth="1"/>
    <col min="8" max="8" width="24.8554687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358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46065</v>
      </c>
      <c r="I10" s="215"/>
    </row>
    <row r="11" spans="1:9" ht="15.75" x14ac:dyDescent="0.25">
      <c r="A11" s="470" t="s">
        <v>187</v>
      </c>
      <c r="B11" s="471"/>
      <c r="C11" s="474" t="s">
        <v>5</v>
      </c>
      <c r="D11" s="474"/>
      <c r="E11" s="474"/>
      <c r="F11" s="464"/>
      <c r="G11" s="447" t="s">
        <v>188</v>
      </c>
      <c r="H11" s="234" t="s">
        <v>216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217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 t="s">
        <v>356</v>
      </c>
      <c r="B15" s="220"/>
      <c r="C15" s="220"/>
      <c r="D15" s="220"/>
      <c r="E15" s="220"/>
      <c r="F15" s="221"/>
      <c r="G15" s="187"/>
      <c r="H15" s="188"/>
    </row>
    <row r="16" spans="1:9" ht="15.75" x14ac:dyDescent="0.2">
      <c r="A16" s="218" t="s">
        <v>361</v>
      </c>
      <c r="B16" s="70"/>
      <c r="C16" s="70"/>
      <c r="D16" s="70"/>
      <c r="E16" s="70"/>
      <c r="F16" s="219"/>
      <c r="G16" s="224"/>
      <c r="H16" s="225">
        <v>113453.5</v>
      </c>
    </row>
    <row r="17" spans="1:10" x14ac:dyDescent="0.2">
      <c r="A17" s="218" t="s">
        <v>357</v>
      </c>
      <c r="B17" s="70"/>
      <c r="C17" s="70"/>
      <c r="D17" s="70"/>
      <c r="E17" s="70"/>
      <c r="F17" s="219"/>
      <c r="G17" s="187"/>
      <c r="H17" s="188"/>
    </row>
    <row r="18" spans="1:10" x14ac:dyDescent="0.2">
      <c r="A18" s="272"/>
      <c r="F18" s="188"/>
      <c r="G18" s="187"/>
      <c r="H18" s="188"/>
    </row>
    <row r="19" spans="1:10" x14ac:dyDescent="0.2">
      <c r="A19" s="272"/>
      <c r="F19" s="188"/>
      <c r="G19" s="187"/>
      <c r="H19" s="188"/>
    </row>
    <row r="20" spans="1:10" x14ac:dyDescent="0.2">
      <c r="A20" s="272"/>
      <c r="F20" s="188"/>
      <c r="G20" s="187"/>
      <c r="H20" s="188"/>
    </row>
    <row r="21" spans="1:10" x14ac:dyDescent="0.2">
      <c r="A21" s="272"/>
      <c r="F21" s="188"/>
      <c r="G21" s="187"/>
      <c r="H21" s="188"/>
    </row>
    <row r="22" spans="1:10" x14ac:dyDescent="0.2">
      <c r="A22" s="272"/>
      <c r="F22" s="188"/>
      <c r="G22" s="187"/>
      <c r="H22" s="188"/>
    </row>
    <row r="23" spans="1:10" x14ac:dyDescent="0.2">
      <c r="A23" s="192"/>
      <c r="B23" s="193"/>
      <c r="C23" s="193"/>
      <c r="D23" s="193"/>
      <c r="E23" s="193"/>
      <c r="F23" s="194"/>
      <c r="G23" s="192"/>
      <c r="H23" s="194"/>
    </row>
    <row r="24" spans="1:10" x14ac:dyDescent="0.2">
      <c r="A24" s="192"/>
      <c r="B24" s="193"/>
      <c r="C24" s="193"/>
      <c r="D24" s="193"/>
      <c r="E24" s="193"/>
      <c r="F24" s="193"/>
      <c r="G24" s="193"/>
      <c r="H24" s="194"/>
    </row>
    <row r="25" spans="1:10" ht="15.75" x14ac:dyDescent="0.25">
      <c r="A25" s="477" t="s">
        <v>191</v>
      </c>
      <c r="B25" s="481"/>
      <c r="C25" s="481"/>
      <c r="D25" s="481"/>
      <c r="E25" s="480"/>
      <c r="F25" s="482" t="s">
        <v>192</v>
      </c>
      <c r="G25" s="483"/>
      <c r="H25" s="195" t="s">
        <v>193</v>
      </c>
    </row>
    <row r="26" spans="1:10" x14ac:dyDescent="0.2">
      <c r="A26" s="226" t="s">
        <v>100</v>
      </c>
      <c r="B26" s="197"/>
      <c r="C26" s="197"/>
      <c r="D26" s="197"/>
      <c r="E26" s="197"/>
      <c r="F26" s="484">
        <v>56703.5</v>
      </c>
      <c r="G26" s="484"/>
      <c r="H26" s="291"/>
      <c r="J26" s="41" t="s">
        <v>196</v>
      </c>
    </row>
    <row r="27" spans="1:10" x14ac:dyDescent="0.2">
      <c r="A27" s="226" t="s">
        <v>101</v>
      </c>
      <c r="C27" s="197"/>
      <c r="D27" s="197"/>
      <c r="E27" s="197"/>
      <c r="F27" s="484">
        <v>12500</v>
      </c>
      <c r="G27" s="484"/>
      <c r="H27" s="230"/>
    </row>
    <row r="28" spans="1:10" x14ac:dyDescent="0.2">
      <c r="A28" s="226" t="s">
        <v>102</v>
      </c>
      <c r="B28" s="197"/>
      <c r="C28" s="197"/>
      <c r="D28" s="197"/>
      <c r="E28" s="197"/>
      <c r="F28" s="484">
        <v>2250</v>
      </c>
      <c r="G28" s="484"/>
      <c r="H28" s="227"/>
    </row>
    <row r="29" spans="1:10" x14ac:dyDescent="0.2">
      <c r="A29" s="226" t="s">
        <v>355</v>
      </c>
      <c r="C29" s="197"/>
      <c r="D29" s="197"/>
      <c r="E29" s="197"/>
      <c r="F29" s="484">
        <v>42000</v>
      </c>
      <c r="G29" s="484"/>
      <c r="H29" s="227"/>
    </row>
    <row r="30" spans="1:10" x14ac:dyDescent="0.2">
      <c r="A30" s="196"/>
      <c r="B30" s="231" t="s">
        <v>36</v>
      </c>
      <c r="C30" s="197"/>
      <c r="D30" s="197"/>
      <c r="E30" s="199"/>
      <c r="F30" s="486"/>
      <c r="G30" s="486"/>
      <c r="H30" s="294">
        <f>SUM(F26:G29)</f>
        <v>113453.5</v>
      </c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13</v>
      </c>
      <c r="F32" s="201"/>
      <c r="G32" s="202"/>
      <c r="H32" s="203" t="s">
        <v>14</v>
      </c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187"/>
      <c r="D34" s="188"/>
      <c r="E34" s="187"/>
      <c r="G34" s="188"/>
      <c r="H34" s="204"/>
    </row>
    <row r="35" spans="1:8" x14ac:dyDescent="0.2">
      <c r="A35" s="232" t="s">
        <v>15</v>
      </c>
      <c r="B35" s="205"/>
      <c r="C35" s="205"/>
      <c r="D35" s="206"/>
      <c r="E35" s="487" t="s">
        <v>5</v>
      </c>
      <c r="F35" s="48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H38" s="188"/>
    </row>
    <row r="39" spans="1:8" x14ac:dyDescent="0.2">
      <c r="A39" s="187"/>
      <c r="H39" s="188"/>
    </row>
    <row r="40" spans="1:8" ht="15.75" customHeight="1" x14ac:dyDescent="0.2">
      <c r="A40" s="490" t="s">
        <v>21</v>
      </c>
      <c r="B40" s="491"/>
      <c r="C40" s="491"/>
      <c r="D40" s="491"/>
      <c r="E40" s="491"/>
      <c r="F40" s="491" t="s">
        <v>22</v>
      </c>
      <c r="G40" s="491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360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237" t="s">
        <v>359</v>
      </c>
      <c r="G43" s="209" t="s">
        <v>195</v>
      </c>
      <c r="H43" s="238"/>
    </row>
    <row r="44" spans="1:8" x14ac:dyDescent="0.2">
      <c r="A44" s="210"/>
      <c r="G44" s="209" t="s">
        <v>186</v>
      </c>
      <c r="H44" s="188"/>
    </row>
    <row r="45" spans="1:8" x14ac:dyDescent="0.2">
      <c r="A45" s="187"/>
      <c r="H45" s="188"/>
    </row>
    <row r="46" spans="1:8" x14ac:dyDescent="0.2">
      <c r="A46" s="187"/>
      <c r="H46" s="188"/>
    </row>
    <row r="47" spans="1:8" ht="15.75" thickBot="1" x14ac:dyDescent="0.25">
      <c r="A47" s="187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2">
    <mergeCell ref="G48:H48"/>
    <mergeCell ref="A37:E37"/>
    <mergeCell ref="F37:H37"/>
    <mergeCell ref="A40:E40"/>
    <mergeCell ref="F40:H40"/>
    <mergeCell ref="A41:E41"/>
    <mergeCell ref="F41:H41"/>
    <mergeCell ref="A36:D36"/>
    <mergeCell ref="E36:G36"/>
    <mergeCell ref="A13:F13"/>
    <mergeCell ref="G13:H13"/>
    <mergeCell ref="A25:E25"/>
    <mergeCell ref="F25:G25"/>
    <mergeCell ref="F26:G26"/>
    <mergeCell ref="F27:G27"/>
    <mergeCell ref="F28:G28"/>
    <mergeCell ref="F29:G29"/>
    <mergeCell ref="F30:G30"/>
    <mergeCell ref="F31:G31"/>
    <mergeCell ref="E35:G35"/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4753" r:id="rId4" name="Check Box 1">
              <controlPr defaultSize="0" autoFill="0" autoLine="0" autoPict="0">
                <anchor moveWithCells="1">
                  <from>
                    <xdr:col>2</xdr:col>
                    <xdr:colOff>133350</xdr:colOff>
                    <xdr:row>6</xdr:row>
                    <xdr:rowOff>38100</xdr:rowOff>
                  </from>
                  <to>
                    <xdr:col>2</xdr:col>
                    <xdr:colOff>371475</xdr:colOff>
                    <xdr:row>12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4754" r:id="rId5" name="Check Box 2">
              <controlPr defaultSize="0" autoFill="0" autoLine="0" autoPict="0">
                <anchor moveWithCells="1">
                  <from>
                    <xdr:col>4</xdr:col>
                    <xdr:colOff>200025</xdr:colOff>
                    <xdr:row>6</xdr:row>
                    <xdr:rowOff>38100</xdr:rowOff>
                  </from>
                  <to>
                    <xdr:col>4</xdr:col>
                    <xdr:colOff>438150</xdr:colOff>
                    <xdr:row>12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B3379-C160-41D5-88AD-3F63CBF19FE1}">
  <sheetPr>
    <pageSetUpPr fitToPage="1"/>
  </sheetPr>
  <dimension ref="B1:P36"/>
  <sheetViews>
    <sheetView workbookViewId="0">
      <selection activeCell="I35" sqref="I35"/>
    </sheetView>
  </sheetViews>
  <sheetFormatPr defaultRowHeight="15" x14ac:dyDescent="0.25"/>
  <cols>
    <col min="2" max="2" width="32.7109375" customWidth="1"/>
    <col min="3" max="3" width="20.28515625" customWidth="1"/>
    <col min="4" max="4" width="13.28515625" customWidth="1"/>
    <col min="5" max="5" width="11.140625" customWidth="1"/>
    <col min="6" max="6" width="11" customWidth="1"/>
    <col min="7" max="7" width="11.140625" customWidth="1"/>
    <col min="8" max="8" width="13.5703125" customWidth="1"/>
    <col min="9" max="10" width="15.7109375" customWidth="1"/>
    <col min="11" max="11" width="14.28515625" customWidth="1"/>
    <col min="12" max="12" width="13.28515625" customWidth="1"/>
    <col min="13" max="13" width="9.42578125" customWidth="1"/>
    <col min="14" max="14" width="9.28515625" customWidth="1"/>
    <col min="15" max="15" width="11.28515625" customWidth="1"/>
    <col min="16" max="16" width="23.7109375" customWidth="1"/>
  </cols>
  <sheetData>
    <row r="1" spans="2:16" ht="15.75" x14ac:dyDescent="0.25">
      <c r="B1" s="421" t="s">
        <v>0</v>
      </c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</row>
    <row r="2" spans="2:16" x14ac:dyDescent="0.25">
      <c r="B2" s="422" t="s">
        <v>52</v>
      </c>
      <c r="C2" s="422"/>
      <c r="D2" s="422"/>
      <c r="E2" s="422"/>
      <c r="F2" s="422"/>
      <c r="G2" s="422"/>
      <c r="H2" s="422"/>
      <c r="I2" s="422"/>
      <c r="J2" s="422"/>
      <c r="K2" s="422"/>
      <c r="L2" s="422"/>
      <c r="M2" s="422"/>
      <c r="N2" s="422"/>
      <c r="O2" s="422"/>
      <c r="P2" s="422"/>
    </row>
    <row r="3" spans="2:16" ht="15.75" x14ac:dyDescent="0.25">
      <c r="B3" s="421" t="s">
        <v>53</v>
      </c>
      <c r="C3" s="421"/>
      <c r="D3" s="421"/>
      <c r="E3" s="421"/>
      <c r="F3" s="421"/>
      <c r="G3" s="421"/>
      <c r="H3" s="421"/>
      <c r="I3" s="421"/>
      <c r="J3" s="421"/>
      <c r="K3" s="421"/>
      <c r="L3" s="421"/>
      <c r="M3" s="421"/>
      <c r="N3" s="421"/>
      <c r="O3" s="421"/>
      <c r="P3" s="421"/>
    </row>
    <row r="4" spans="2:16" x14ac:dyDescent="0.25">
      <c r="B4" s="423" t="s">
        <v>354</v>
      </c>
      <c r="C4" s="423"/>
      <c r="D4" s="423"/>
      <c r="E4" s="423"/>
      <c r="F4" s="423"/>
      <c r="G4" s="423"/>
      <c r="H4" s="423"/>
      <c r="I4" s="423"/>
      <c r="J4" s="423"/>
      <c r="K4" s="423"/>
      <c r="L4" s="423"/>
      <c r="M4" s="423"/>
      <c r="N4" s="423"/>
      <c r="O4" s="423"/>
      <c r="P4" s="423"/>
    </row>
    <row r="5" spans="2:16" x14ac:dyDescent="0.25">
      <c r="B5" s="9"/>
      <c r="C5" s="9"/>
      <c r="D5" s="9"/>
      <c r="E5" s="73"/>
      <c r="F5" s="73"/>
      <c r="G5" s="73"/>
      <c r="H5" s="73"/>
      <c r="I5" s="73"/>
      <c r="J5" s="73"/>
      <c r="K5" s="72"/>
      <c r="L5" s="72"/>
      <c r="M5" s="73"/>
      <c r="N5" s="73"/>
      <c r="O5" s="72"/>
      <c r="P5" s="9"/>
    </row>
    <row r="6" spans="2:16" x14ac:dyDescent="0.25">
      <c r="B6" s="424" t="s">
        <v>54</v>
      </c>
      <c r="C6" s="424"/>
      <c r="D6" s="424"/>
      <c r="E6" s="424"/>
      <c r="F6" s="424"/>
      <c r="G6" s="424"/>
      <c r="H6" s="424"/>
      <c r="I6" s="424"/>
      <c r="J6" s="424"/>
      <c r="K6" s="424"/>
      <c r="L6" s="424"/>
      <c r="M6" s="424"/>
      <c r="N6" s="424"/>
      <c r="O6" s="424"/>
      <c r="P6" s="424"/>
    </row>
    <row r="7" spans="2:16" x14ac:dyDescent="0.25">
      <c r="B7" s="424" t="s">
        <v>55</v>
      </c>
      <c r="C7" s="424"/>
      <c r="D7" s="424"/>
      <c r="E7" s="424"/>
      <c r="F7" s="424"/>
      <c r="G7" s="424"/>
      <c r="H7" s="424"/>
      <c r="I7" s="424"/>
      <c r="J7" s="424"/>
      <c r="K7" s="424"/>
      <c r="L7" s="424"/>
      <c r="M7" s="424"/>
      <c r="N7" s="424"/>
      <c r="O7" s="424"/>
      <c r="P7" s="424"/>
    </row>
    <row r="8" spans="2:16" x14ac:dyDescent="0.25">
      <c r="B8" s="9"/>
      <c r="C8" s="9"/>
      <c r="D8" s="9"/>
      <c r="E8" s="73"/>
      <c r="F8" s="73"/>
      <c r="G8" s="73"/>
      <c r="H8" s="73"/>
      <c r="I8" s="73"/>
      <c r="J8" s="73"/>
      <c r="K8" s="72"/>
      <c r="L8" s="72"/>
      <c r="M8" s="73"/>
      <c r="N8" s="73"/>
      <c r="O8" s="72"/>
      <c r="P8" s="9"/>
    </row>
    <row r="9" spans="2:16" x14ac:dyDescent="0.25">
      <c r="B9" s="74"/>
      <c r="C9" s="74"/>
      <c r="D9" s="74"/>
      <c r="E9" s="107"/>
      <c r="F9" s="107"/>
      <c r="G9" s="107"/>
      <c r="H9" s="107"/>
      <c r="I9" s="107"/>
      <c r="J9" s="107"/>
      <c r="K9" s="75"/>
      <c r="L9" s="425" t="s">
        <v>56</v>
      </c>
      <c r="M9" s="426"/>
      <c r="N9" s="427"/>
      <c r="O9" s="75"/>
      <c r="P9" s="76"/>
    </row>
    <row r="10" spans="2:16" x14ac:dyDescent="0.25">
      <c r="B10" s="79"/>
      <c r="C10" s="79"/>
      <c r="D10" s="79"/>
      <c r="E10" s="108" t="s">
        <v>57</v>
      </c>
      <c r="F10" s="108" t="s">
        <v>58</v>
      </c>
      <c r="G10" s="109" t="s">
        <v>59</v>
      </c>
      <c r="H10" s="109" t="s">
        <v>58</v>
      </c>
      <c r="I10" s="109" t="s">
        <v>71</v>
      </c>
      <c r="J10" s="109" t="s">
        <v>352</v>
      </c>
      <c r="K10" s="77" t="s">
        <v>60</v>
      </c>
      <c r="L10" s="77" t="s">
        <v>61</v>
      </c>
      <c r="M10" s="81" t="s">
        <v>62</v>
      </c>
      <c r="N10" s="80" t="s">
        <v>63</v>
      </c>
      <c r="O10" s="81" t="s">
        <v>64</v>
      </c>
      <c r="P10" s="78" t="s">
        <v>65</v>
      </c>
    </row>
    <row r="11" spans="2:16" x14ac:dyDescent="0.25">
      <c r="B11" s="79" t="s">
        <v>66</v>
      </c>
      <c r="C11" s="79" t="s">
        <v>67</v>
      </c>
      <c r="D11" s="79" t="s">
        <v>68</v>
      </c>
      <c r="E11" s="108" t="s">
        <v>69</v>
      </c>
      <c r="F11" s="108" t="s">
        <v>97</v>
      </c>
      <c r="G11" s="109" t="s">
        <v>70</v>
      </c>
      <c r="H11" s="109" t="s">
        <v>57</v>
      </c>
      <c r="I11" s="109"/>
      <c r="J11" s="109" t="s">
        <v>353</v>
      </c>
      <c r="K11" s="77" t="s">
        <v>72</v>
      </c>
      <c r="L11" s="77" t="s">
        <v>73</v>
      </c>
      <c r="M11" s="81"/>
      <c r="N11" s="80"/>
      <c r="O11" s="81" t="s">
        <v>74</v>
      </c>
      <c r="P11" s="82"/>
    </row>
    <row r="12" spans="2:16" x14ac:dyDescent="0.25">
      <c r="B12" s="110"/>
      <c r="C12" s="110"/>
      <c r="D12" s="110"/>
      <c r="E12" s="111"/>
      <c r="F12" s="111" t="s">
        <v>69</v>
      </c>
      <c r="G12" s="112"/>
      <c r="H12" s="112" t="s">
        <v>70</v>
      </c>
      <c r="I12" s="112"/>
      <c r="J12" s="112"/>
      <c r="K12" s="113"/>
      <c r="L12" s="114" t="s">
        <v>75</v>
      </c>
      <c r="M12" s="84"/>
      <c r="N12" s="83"/>
      <c r="O12" s="115"/>
      <c r="P12" s="85"/>
    </row>
    <row r="13" spans="2:16" x14ac:dyDescent="0.25">
      <c r="B13" s="86" t="s">
        <v>76</v>
      </c>
      <c r="C13" s="87" t="s">
        <v>77</v>
      </c>
      <c r="D13" s="87" t="s">
        <v>80</v>
      </c>
      <c r="E13" s="88">
        <v>14600</v>
      </c>
      <c r="F13" s="89">
        <f>E13/2</f>
        <v>7300</v>
      </c>
      <c r="G13" s="89">
        <v>4000</v>
      </c>
      <c r="H13" s="89">
        <v>2000</v>
      </c>
      <c r="I13" s="116"/>
      <c r="J13" s="89">
        <v>7000</v>
      </c>
      <c r="K13" s="88">
        <f>F13+H13+J13</f>
        <v>16300</v>
      </c>
      <c r="L13" s="117"/>
      <c r="M13" s="88"/>
      <c r="N13" s="88"/>
      <c r="O13" s="88">
        <f>K13-L13-M13-N13</f>
        <v>16300</v>
      </c>
      <c r="P13" s="90"/>
    </row>
    <row r="14" spans="2:16" x14ac:dyDescent="0.25">
      <c r="B14" s="91" t="s">
        <v>78</v>
      </c>
      <c r="C14" s="87" t="s">
        <v>79</v>
      </c>
      <c r="D14" s="87" t="s">
        <v>80</v>
      </c>
      <c r="E14" s="92">
        <v>14600</v>
      </c>
      <c r="F14" s="93">
        <f t="shared" ref="F14:F18" si="0">E14/2</f>
        <v>7300</v>
      </c>
      <c r="G14" s="118">
        <v>4000</v>
      </c>
      <c r="H14" s="118">
        <v>2000</v>
      </c>
      <c r="I14" s="118"/>
      <c r="J14" s="93">
        <v>7000</v>
      </c>
      <c r="K14" s="88">
        <f t="shared" ref="K14:K17" si="1">F14+H14+J14</f>
        <v>16300</v>
      </c>
      <c r="L14" s="119"/>
      <c r="M14" s="94"/>
      <c r="N14" s="95"/>
      <c r="O14" s="88">
        <f t="shared" ref="O14:O18" si="2">K14-L14-M14-N14</f>
        <v>16300</v>
      </c>
      <c r="P14" s="90"/>
    </row>
    <row r="15" spans="2:16" x14ac:dyDescent="0.25">
      <c r="B15" s="96" t="s">
        <v>15</v>
      </c>
      <c r="C15" s="87" t="s">
        <v>81</v>
      </c>
      <c r="D15" s="87" t="s">
        <v>80</v>
      </c>
      <c r="E15" s="92">
        <v>21369</v>
      </c>
      <c r="F15" s="93">
        <f t="shared" si="0"/>
        <v>10684.5</v>
      </c>
      <c r="G15" s="120">
        <v>4000</v>
      </c>
      <c r="H15" s="120">
        <v>2000</v>
      </c>
      <c r="I15" s="97"/>
      <c r="J15" s="93">
        <v>7000</v>
      </c>
      <c r="K15" s="88">
        <f t="shared" si="1"/>
        <v>19684.5</v>
      </c>
      <c r="L15" s="121"/>
      <c r="M15" s="120"/>
      <c r="N15" s="120"/>
      <c r="O15" s="88">
        <f t="shared" si="2"/>
        <v>19684.5</v>
      </c>
      <c r="P15" s="90"/>
    </row>
    <row r="16" spans="2:16" x14ac:dyDescent="0.25">
      <c r="B16" s="91" t="s">
        <v>82</v>
      </c>
      <c r="C16" s="87" t="s">
        <v>83</v>
      </c>
      <c r="D16" s="87" t="s">
        <v>80</v>
      </c>
      <c r="E16" s="92">
        <v>14600</v>
      </c>
      <c r="F16" s="93">
        <f t="shared" si="0"/>
        <v>7300</v>
      </c>
      <c r="G16" s="95">
        <v>4000</v>
      </c>
      <c r="H16" s="95">
        <v>2000</v>
      </c>
      <c r="I16" s="95"/>
      <c r="J16" s="93">
        <v>7000</v>
      </c>
      <c r="K16" s="88">
        <f t="shared" si="1"/>
        <v>16300</v>
      </c>
      <c r="L16" s="121"/>
      <c r="M16" s="95"/>
      <c r="N16" s="95"/>
      <c r="O16" s="88">
        <f t="shared" si="2"/>
        <v>16300</v>
      </c>
      <c r="P16" s="90"/>
    </row>
    <row r="17" spans="2:16" x14ac:dyDescent="0.25">
      <c r="B17" s="91" t="s">
        <v>84</v>
      </c>
      <c r="C17" s="87" t="s">
        <v>85</v>
      </c>
      <c r="D17" s="87" t="s">
        <v>80</v>
      </c>
      <c r="E17" s="92">
        <v>21369</v>
      </c>
      <c r="F17" s="93">
        <f t="shared" si="0"/>
        <v>10684.5</v>
      </c>
      <c r="G17" s="122">
        <v>4000</v>
      </c>
      <c r="H17" s="122">
        <v>2000</v>
      </c>
      <c r="I17" s="123"/>
      <c r="J17" s="93">
        <v>7000</v>
      </c>
      <c r="K17" s="88">
        <f t="shared" si="1"/>
        <v>19684.5</v>
      </c>
      <c r="L17" s="121"/>
      <c r="M17" s="120"/>
      <c r="N17" s="120"/>
      <c r="O17" s="88">
        <f t="shared" si="2"/>
        <v>19684.5</v>
      </c>
      <c r="P17" s="98"/>
    </row>
    <row r="18" spans="2:16" x14ac:dyDescent="0.25">
      <c r="B18" s="86" t="s">
        <v>5</v>
      </c>
      <c r="C18" s="87" t="s">
        <v>86</v>
      </c>
      <c r="D18" s="87" t="s">
        <v>80</v>
      </c>
      <c r="E18" s="92">
        <v>26869</v>
      </c>
      <c r="F18" s="93">
        <f t="shared" si="0"/>
        <v>13434.5</v>
      </c>
      <c r="G18" s="95">
        <v>5000</v>
      </c>
      <c r="H18" s="95">
        <v>2500</v>
      </c>
      <c r="I18" s="88">
        <v>2250</v>
      </c>
      <c r="J18" s="93">
        <v>7000</v>
      </c>
      <c r="K18" s="88">
        <f>F18+H18+J18+I18</f>
        <v>25184.5</v>
      </c>
      <c r="L18" s="121"/>
      <c r="M18" s="95"/>
      <c r="N18" s="95"/>
      <c r="O18" s="88">
        <f t="shared" si="2"/>
        <v>25184.5</v>
      </c>
      <c r="P18" s="98"/>
    </row>
    <row r="19" spans="2:16" x14ac:dyDescent="0.25">
      <c r="B19" s="428" t="s">
        <v>87</v>
      </c>
      <c r="C19" s="429"/>
      <c r="D19" s="429"/>
      <c r="E19" s="429"/>
      <c r="F19" s="429"/>
      <c r="G19" s="429"/>
      <c r="H19" s="429"/>
      <c r="I19" s="429"/>
      <c r="J19" s="429"/>
      <c r="K19" s="429"/>
      <c r="L19" s="429"/>
      <c r="M19" s="429"/>
      <c r="N19" s="429"/>
      <c r="O19" s="429"/>
      <c r="P19" s="430"/>
    </row>
    <row r="20" spans="2:16" x14ac:dyDescent="0.25">
      <c r="B20" s="98"/>
      <c r="C20" s="98"/>
      <c r="D20" s="98"/>
      <c r="E20" s="95"/>
      <c r="F20" s="95"/>
      <c r="G20" s="95"/>
      <c r="H20" s="95"/>
      <c r="I20" s="95"/>
      <c r="J20" s="95"/>
      <c r="K20" s="92"/>
      <c r="L20" s="92"/>
      <c r="M20" s="95"/>
      <c r="N20" s="95"/>
      <c r="O20" s="92"/>
      <c r="P20" s="98"/>
    </row>
    <row r="21" spans="2:16" x14ac:dyDescent="0.25">
      <c r="B21" s="98"/>
      <c r="C21" s="98"/>
      <c r="D21" s="98"/>
      <c r="E21" s="95"/>
      <c r="F21" s="95"/>
      <c r="G21" s="95"/>
      <c r="H21" s="95"/>
      <c r="I21" s="95"/>
      <c r="J21" s="95"/>
      <c r="K21" s="92"/>
      <c r="L21" s="92"/>
      <c r="M21" s="95"/>
      <c r="N21" s="95"/>
      <c r="O21" s="92"/>
      <c r="P21" s="98"/>
    </row>
    <row r="22" spans="2:16" x14ac:dyDescent="0.25">
      <c r="B22" s="98"/>
      <c r="C22" s="98"/>
      <c r="D22" s="98"/>
      <c r="E22" s="95"/>
      <c r="F22" s="95"/>
      <c r="G22" s="95"/>
      <c r="H22" s="95"/>
      <c r="I22" s="95"/>
      <c r="J22" s="95"/>
      <c r="K22" s="92"/>
      <c r="L22" s="92"/>
      <c r="M22" s="95"/>
      <c r="N22" s="95"/>
      <c r="O22" s="92"/>
      <c r="P22" s="98"/>
    </row>
    <row r="23" spans="2:16" x14ac:dyDescent="0.25">
      <c r="B23" s="98"/>
      <c r="C23" s="98"/>
      <c r="D23" s="98"/>
      <c r="E23" s="95"/>
      <c r="F23" s="95"/>
      <c r="G23" s="95"/>
      <c r="H23" s="95"/>
      <c r="I23" s="95"/>
      <c r="J23" s="95"/>
      <c r="K23" s="92"/>
      <c r="L23" s="92"/>
      <c r="M23" s="95"/>
      <c r="N23" s="95"/>
      <c r="O23" s="92"/>
      <c r="P23" s="98"/>
    </row>
    <row r="24" spans="2:16" x14ac:dyDescent="0.25">
      <c r="B24" s="98"/>
      <c r="C24" s="98"/>
      <c r="D24" s="98"/>
      <c r="E24" s="95"/>
      <c r="F24" s="95"/>
      <c r="G24" s="95"/>
      <c r="H24" s="95"/>
      <c r="I24" s="95"/>
      <c r="J24" s="95"/>
      <c r="K24" s="92"/>
      <c r="L24" s="92"/>
      <c r="M24" s="95"/>
      <c r="N24" s="95"/>
      <c r="O24" s="92"/>
      <c r="P24" s="98"/>
    </row>
    <row r="25" spans="2:16" x14ac:dyDescent="0.25">
      <c r="B25" s="98"/>
      <c r="C25" s="98"/>
      <c r="D25" s="98"/>
      <c r="E25" s="95"/>
      <c r="F25" s="95"/>
      <c r="G25" s="95"/>
      <c r="H25" s="95"/>
      <c r="I25" s="95"/>
      <c r="J25" s="95"/>
      <c r="K25" s="92"/>
      <c r="L25" s="92"/>
      <c r="M25" s="95"/>
      <c r="N25" s="95"/>
      <c r="O25" s="92"/>
      <c r="P25" s="90"/>
    </row>
    <row r="26" spans="2:16" x14ac:dyDescent="0.25">
      <c r="B26" s="98"/>
      <c r="C26" s="98"/>
      <c r="D26" s="98"/>
      <c r="E26" s="95"/>
      <c r="F26" s="95"/>
      <c r="G26" s="95"/>
      <c r="H26" s="95"/>
      <c r="I26" s="95"/>
      <c r="J26" s="95"/>
      <c r="K26" s="92"/>
      <c r="L26" s="92"/>
      <c r="M26" s="95"/>
      <c r="N26" s="95"/>
      <c r="O26" s="92"/>
      <c r="P26" s="90"/>
    </row>
    <row r="27" spans="2:16" x14ac:dyDescent="0.25">
      <c r="B27" s="98"/>
      <c r="C27" s="98"/>
      <c r="D27" s="98"/>
      <c r="E27" s="95"/>
      <c r="F27" s="95"/>
      <c r="G27" s="95"/>
      <c r="H27" s="95"/>
      <c r="I27" s="95"/>
      <c r="J27" s="95"/>
      <c r="K27" s="92"/>
      <c r="L27" s="92"/>
      <c r="M27" s="95"/>
      <c r="N27" s="95"/>
      <c r="O27" s="92"/>
      <c r="P27" s="98"/>
    </row>
    <row r="28" spans="2:16" x14ac:dyDescent="0.25">
      <c r="B28" s="98"/>
      <c r="C28" s="98"/>
      <c r="D28" s="99" t="s">
        <v>32</v>
      </c>
      <c r="E28" s="88">
        <f t="shared" ref="E28:N28" si="3">SUM(E13:E27)</f>
        <v>113407</v>
      </c>
      <c r="F28" s="88">
        <f t="shared" si="3"/>
        <v>56703.5</v>
      </c>
      <c r="G28" s="88">
        <f t="shared" si="3"/>
        <v>25000</v>
      </c>
      <c r="H28" s="88">
        <f t="shared" si="3"/>
        <v>12500</v>
      </c>
      <c r="I28" s="88">
        <f t="shared" si="3"/>
        <v>2250</v>
      </c>
      <c r="J28" s="88">
        <f t="shared" si="3"/>
        <v>42000</v>
      </c>
      <c r="K28" s="88">
        <f t="shared" si="3"/>
        <v>113453.5</v>
      </c>
      <c r="L28" s="88">
        <f t="shared" si="3"/>
        <v>0</v>
      </c>
      <c r="M28" s="88">
        <f t="shared" si="3"/>
        <v>0</v>
      </c>
      <c r="N28" s="88">
        <f t="shared" si="3"/>
        <v>0</v>
      </c>
      <c r="O28" s="100">
        <f>SUM(O13:O27)</f>
        <v>113453.5</v>
      </c>
      <c r="P28" s="90"/>
    </row>
    <row r="29" spans="2:16" x14ac:dyDescent="0.25">
      <c r="B29" s="101"/>
      <c r="C29" s="101"/>
      <c r="D29" s="102"/>
      <c r="E29" s="104"/>
      <c r="F29" s="104"/>
      <c r="G29" s="104"/>
      <c r="H29" s="104"/>
      <c r="I29" s="104"/>
      <c r="J29" s="104"/>
      <c r="K29" s="62"/>
      <c r="L29" s="103"/>
      <c r="M29" s="104"/>
      <c r="N29" s="104" t="s">
        <v>89</v>
      </c>
      <c r="O29" s="103"/>
      <c r="P29" s="105"/>
    </row>
    <row r="30" spans="2:16" x14ac:dyDescent="0.25">
      <c r="B30" s="101"/>
      <c r="C30" s="101"/>
      <c r="D30" s="102"/>
      <c r="E30" s="104"/>
      <c r="F30" s="104"/>
      <c r="G30" s="104"/>
      <c r="H30" s="104"/>
      <c r="I30" s="104"/>
      <c r="J30" s="104"/>
      <c r="K30" s="103"/>
      <c r="L30" s="103"/>
      <c r="M30" s="104"/>
      <c r="N30" s="104" t="s">
        <v>90</v>
      </c>
      <c r="O30" s="103"/>
      <c r="P30" s="106"/>
    </row>
    <row r="31" spans="2:16" x14ac:dyDescent="0.25">
      <c r="B31" s="101" t="s">
        <v>12</v>
      </c>
      <c r="C31" s="101"/>
      <c r="D31" s="102"/>
      <c r="E31" s="104" t="s">
        <v>13</v>
      </c>
      <c r="F31" s="104"/>
      <c r="G31" s="104"/>
      <c r="H31" s="104"/>
      <c r="I31" s="104"/>
      <c r="J31" s="104"/>
      <c r="K31" s="103"/>
      <c r="L31" s="124" t="s">
        <v>88</v>
      </c>
      <c r="M31" s="104"/>
      <c r="N31" s="104" t="s">
        <v>91</v>
      </c>
      <c r="O31" s="103"/>
      <c r="P31" s="106"/>
    </row>
    <row r="32" spans="2:16" x14ac:dyDescent="0.25">
      <c r="B32" s="101"/>
      <c r="C32" s="101"/>
      <c r="D32" s="102"/>
      <c r="E32" s="104"/>
      <c r="F32" s="104"/>
      <c r="G32" s="104"/>
      <c r="H32" s="104"/>
      <c r="I32" s="104"/>
      <c r="J32" s="104"/>
      <c r="K32" s="103"/>
      <c r="L32" s="103"/>
      <c r="M32" s="104"/>
      <c r="N32" s="104" t="s">
        <v>92</v>
      </c>
      <c r="O32" s="103"/>
      <c r="P32" s="106"/>
    </row>
    <row r="33" spans="2:16" x14ac:dyDescent="0.25">
      <c r="B33" s="101"/>
      <c r="C33" s="101"/>
      <c r="D33" s="102"/>
      <c r="E33" s="104"/>
      <c r="F33" s="104"/>
      <c r="G33" s="104"/>
      <c r="H33" s="104"/>
      <c r="I33" s="104"/>
      <c r="J33" s="104"/>
      <c r="K33" s="103"/>
      <c r="L33" s="103"/>
      <c r="M33" s="104"/>
      <c r="N33" s="104"/>
      <c r="O33" s="103"/>
      <c r="P33" s="106"/>
    </row>
    <row r="34" spans="2:16" x14ac:dyDescent="0.25">
      <c r="B34" s="431" t="s">
        <v>93</v>
      </c>
      <c r="C34" s="431"/>
      <c r="D34" s="431"/>
      <c r="E34" s="432" t="s">
        <v>94</v>
      </c>
      <c r="F34" s="432"/>
      <c r="G34" s="432"/>
      <c r="H34" s="125"/>
      <c r="I34" s="125"/>
      <c r="J34" s="125"/>
      <c r="K34" s="126"/>
      <c r="L34" s="433" t="s">
        <v>22</v>
      </c>
      <c r="M34" s="433"/>
      <c r="N34" s="127"/>
      <c r="O34" s="103"/>
      <c r="P34" s="106"/>
    </row>
    <row r="35" spans="2:16" x14ac:dyDescent="0.25">
      <c r="B35" s="290" t="s">
        <v>95</v>
      </c>
      <c r="C35" s="290"/>
      <c r="D35" s="128"/>
      <c r="E35" s="419" t="s">
        <v>18</v>
      </c>
      <c r="F35" s="419"/>
      <c r="G35" s="419"/>
      <c r="H35" s="127"/>
      <c r="I35" s="127"/>
      <c r="J35" s="127"/>
      <c r="K35" s="129"/>
      <c r="L35" s="420" t="s">
        <v>24</v>
      </c>
      <c r="M35" s="420"/>
      <c r="N35" s="127"/>
      <c r="O35" s="103"/>
      <c r="P35" s="106"/>
    </row>
    <row r="36" spans="2:16" x14ac:dyDescent="0.25">
      <c r="B36" s="101"/>
      <c r="C36" s="101"/>
      <c r="D36" s="102"/>
      <c r="E36" s="104"/>
      <c r="F36" s="104"/>
      <c r="G36" s="104"/>
      <c r="H36" s="104"/>
      <c r="I36" s="104"/>
      <c r="J36" s="104"/>
      <c r="K36" s="103"/>
      <c r="L36" s="103"/>
      <c r="M36" s="104"/>
      <c r="N36" s="104"/>
      <c r="O36" s="103"/>
      <c r="P36" s="106"/>
    </row>
  </sheetData>
  <mergeCells count="13">
    <mergeCell ref="E35:G35"/>
    <mergeCell ref="L35:M35"/>
    <mergeCell ref="B1:P1"/>
    <mergeCell ref="B2:P2"/>
    <mergeCell ref="B3:P3"/>
    <mergeCell ref="B4:P4"/>
    <mergeCell ref="B6:P6"/>
    <mergeCell ref="B7:P7"/>
    <mergeCell ref="L9:N9"/>
    <mergeCell ref="B19:P19"/>
    <mergeCell ref="B34:D34"/>
    <mergeCell ref="E34:G34"/>
    <mergeCell ref="L34:M34"/>
  </mergeCells>
  <pageMargins left="0.25" right="0.25" top="0.75" bottom="0.75" header="0.3" footer="0.3"/>
  <pageSetup paperSize="14" scale="67" fitToHeight="0" orientation="landscape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003C-2145-4CCD-9AF3-0A73CE354DB4}">
  <dimension ref="A1:J49"/>
  <sheetViews>
    <sheetView workbookViewId="0">
      <selection activeCell="E18" sqref="E18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1" style="41" customWidth="1"/>
    <col min="7" max="7" width="13.42578125" style="41" customWidth="1"/>
    <col min="8" max="8" width="24.8554687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369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46065</v>
      </c>
      <c r="I10" s="215"/>
    </row>
    <row r="11" spans="1:9" ht="15.75" x14ac:dyDescent="0.25">
      <c r="A11" s="470" t="s">
        <v>187</v>
      </c>
      <c r="B11" s="471"/>
      <c r="C11" s="474" t="s">
        <v>367</v>
      </c>
      <c r="D11" s="474"/>
      <c r="E11" s="474"/>
      <c r="F11" s="464"/>
      <c r="G11" s="447" t="s">
        <v>188</v>
      </c>
      <c r="H11" s="234" t="s">
        <v>368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201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 t="s">
        <v>365</v>
      </c>
      <c r="B15" s="220"/>
      <c r="C15" s="220"/>
      <c r="D15" s="220"/>
      <c r="E15" s="220"/>
      <c r="F15" s="221"/>
      <c r="G15" s="187"/>
      <c r="H15" s="188"/>
    </row>
    <row r="16" spans="1:9" x14ac:dyDescent="0.2">
      <c r="A16" s="218" t="s">
        <v>370</v>
      </c>
      <c r="B16" s="220"/>
      <c r="C16" s="220"/>
      <c r="D16" s="220"/>
      <c r="E16" s="220"/>
      <c r="F16" s="221"/>
      <c r="G16" s="187"/>
      <c r="H16" s="188"/>
    </row>
    <row r="17" spans="1:10" ht="15.75" x14ac:dyDescent="0.2">
      <c r="A17" s="218" t="s">
        <v>362</v>
      </c>
      <c r="B17" s="70"/>
      <c r="C17" s="70"/>
      <c r="D17" s="70"/>
      <c r="E17" s="70"/>
      <c r="F17" s="219"/>
      <c r="G17" s="224"/>
      <c r="H17" s="225">
        <v>38000</v>
      </c>
    </row>
    <row r="18" spans="1:10" x14ac:dyDescent="0.2">
      <c r="A18" s="218" t="s">
        <v>363</v>
      </c>
      <c r="B18" s="70"/>
      <c r="C18" s="70"/>
      <c r="D18" s="70"/>
      <c r="E18" s="70"/>
      <c r="F18" s="219"/>
      <c r="G18" s="187"/>
      <c r="H18" s="188"/>
    </row>
    <row r="19" spans="1:10" x14ac:dyDescent="0.2">
      <c r="A19" s="218" t="s">
        <v>364</v>
      </c>
      <c r="F19" s="188"/>
      <c r="G19" s="187"/>
      <c r="H19" s="188"/>
    </row>
    <row r="20" spans="1:10" x14ac:dyDescent="0.2">
      <c r="A20" s="272"/>
      <c r="F20" s="188"/>
      <c r="G20" s="187"/>
      <c r="H20" s="188"/>
    </row>
    <row r="21" spans="1:10" x14ac:dyDescent="0.2">
      <c r="A21" s="272"/>
      <c r="F21" s="188"/>
      <c r="G21" s="187"/>
      <c r="H21" s="188"/>
    </row>
    <row r="22" spans="1:10" x14ac:dyDescent="0.2">
      <c r="A22" s="272"/>
      <c r="F22" s="188"/>
      <c r="G22" s="187"/>
      <c r="H22" s="188"/>
    </row>
    <row r="23" spans="1:10" x14ac:dyDescent="0.2">
      <c r="A23" s="192"/>
      <c r="B23" s="193"/>
      <c r="C23" s="193"/>
      <c r="D23" s="193"/>
      <c r="E23" s="193"/>
      <c r="F23" s="194"/>
      <c r="G23" s="192"/>
      <c r="H23" s="194"/>
    </row>
    <row r="24" spans="1:10" x14ac:dyDescent="0.2">
      <c r="A24" s="192"/>
      <c r="B24" s="193"/>
      <c r="C24" s="193"/>
      <c r="D24" s="193"/>
      <c r="E24" s="193"/>
      <c r="F24" s="193"/>
      <c r="G24" s="193"/>
      <c r="H24" s="194"/>
    </row>
    <row r="25" spans="1:10" ht="15.75" x14ac:dyDescent="0.25">
      <c r="A25" s="477" t="s">
        <v>191</v>
      </c>
      <c r="B25" s="481"/>
      <c r="C25" s="481"/>
      <c r="D25" s="481"/>
      <c r="E25" s="480"/>
      <c r="F25" s="482" t="s">
        <v>192</v>
      </c>
      <c r="G25" s="483"/>
      <c r="H25" s="195" t="s">
        <v>193</v>
      </c>
    </row>
    <row r="26" spans="1:10" x14ac:dyDescent="0.2">
      <c r="A26" s="226" t="s">
        <v>366</v>
      </c>
      <c r="B26" s="197"/>
      <c r="C26" s="197"/>
      <c r="D26" s="197"/>
      <c r="E26" s="197"/>
      <c r="F26" s="484">
        <v>38000</v>
      </c>
      <c r="G26" s="484"/>
      <c r="H26" s="293"/>
      <c r="J26" s="41" t="s">
        <v>196</v>
      </c>
    </row>
    <row r="27" spans="1:10" x14ac:dyDescent="0.2">
      <c r="A27" s="226"/>
      <c r="B27" s="41" t="s">
        <v>11</v>
      </c>
      <c r="C27" s="197"/>
      <c r="D27" s="197"/>
      <c r="E27" s="197"/>
      <c r="F27" s="484"/>
      <c r="G27" s="484"/>
      <c r="H27" s="230">
        <f>SUM(F26)</f>
        <v>38000</v>
      </c>
    </row>
    <row r="28" spans="1:10" x14ac:dyDescent="0.2">
      <c r="A28" s="226"/>
      <c r="B28" s="197"/>
      <c r="C28" s="197"/>
      <c r="D28" s="197"/>
      <c r="E28" s="197"/>
      <c r="F28" s="484"/>
      <c r="G28" s="484"/>
      <c r="H28" s="227"/>
    </row>
    <row r="29" spans="1:10" x14ac:dyDescent="0.2">
      <c r="A29" s="226"/>
      <c r="C29" s="197"/>
      <c r="D29" s="197"/>
      <c r="E29" s="197"/>
      <c r="F29" s="484"/>
      <c r="G29" s="484"/>
      <c r="H29" s="227"/>
    </row>
    <row r="30" spans="1:10" x14ac:dyDescent="0.2">
      <c r="A30" s="196"/>
      <c r="B30" s="231"/>
      <c r="C30" s="197"/>
      <c r="D30" s="197"/>
      <c r="E30" s="199"/>
      <c r="F30" s="486"/>
      <c r="G30" s="486"/>
      <c r="H30" s="294"/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13</v>
      </c>
      <c r="F32" s="201"/>
      <c r="G32" s="202"/>
      <c r="H32" s="203" t="s">
        <v>14</v>
      </c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187"/>
      <c r="D34" s="188"/>
      <c r="E34" s="187"/>
      <c r="G34" s="188"/>
      <c r="H34" s="204"/>
    </row>
    <row r="35" spans="1:8" x14ac:dyDescent="0.2">
      <c r="A35" s="232" t="s">
        <v>15</v>
      </c>
      <c r="B35" s="205"/>
      <c r="C35" s="205"/>
      <c r="D35" s="206"/>
      <c r="E35" s="487" t="s">
        <v>5</v>
      </c>
      <c r="F35" s="48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H38" s="188"/>
    </row>
    <row r="39" spans="1:8" x14ac:dyDescent="0.2">
      <c r="A39" s="187"/>
      <c r="H39" s="188"/>
    </row>
    <row r="40" spans="1:8" ht="15.75" customHeight="1" x14ac:dyDescent="0.2">
      <c r="A40" s="490" t="s">
        <v>21</v>
      </c>
      <c r="B40" s="491"/>
      <c r="C40" s="491"/>
      <c r="D40" s="491"/>
      <c r="E40" s="491"/>
      <c r="F40" s="491" t="s">
        <v>22</v>
      </c>
      <c r="G40" s="491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371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237" t="s">
        <v>372</v>
      </c>
      <c r="G43" s="209" t="s">
        <v>195</v>
      </c>
      <c r="H43" s="238"/>
    </row>
    <row r="44" spans="1:8" x14ac:dyDescent="0.2">
      <c r="A44" s="210"/>
      <c r="G44" s="209" t="s">
        <v>186</v>
      </c>
      <c r="H44" s="188"/>
    </row>
    <row r="45" spans="1:8" x14ac:dyDescent="0.2">
      <c r="A45" s="187"/>
      <c r="H45" s="188"/>
    </row>
    <row r="46" spans="1:8" x14ac:dyDescent="0.2">
      <c r="A46" s="187"/>
      <c r="H46" s="188"/>
    </row>
    <row r="47" spans="1:8" ht="15.75" thickBot="1" x14ac:dyDescent="0.25">
      <c r="A47" s="187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2"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  <mergeCell ref="A36:D36"/>
    <mergeCell ref="E36:G36"/>
    <mergeCell ref="A13:F13"/>
    <mergeCell ref="G13:H13"/>
    <mergeCell ref="A25:E25"/>
    <mergeCell ref="F25:G25"/>
    <mergeCell ref="F26:G26"/>
    <mergeCell ref="F27:G27"/>
    <mergeCell ref="F28:G28"/>
    <mergeCell ref="F29:G29"/>
    <mergeCell ref="F30:G30"/>
    <mergeCell ref="F31:G31"/>
    <mergeCell ref="E35:G35"/>
    <mergeCell ref="G48:H48"/>
    <mergeCell ref="A37:E37"/>
    <mergeCell ref="F37:H37"/>
    <mergeCell ref="A40:E40"/>
    <mergeCell ref="F40:H40"/>
    <mergeCell ref="A41:E41"/>
    <mergeCell ref="F41:H41"/>
  </mergeCells>
  <phoneticPr fontId="38" type="noConversion"/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61" r:id="rId4" name="Check Box 1">
              <controlPr defaultSize="0" autoFill="0" autoLine="0" autoPict="0">
                <anchor moveWithCells="1">
                  <from>
                    <xdr:col>2</xdr:col>
                    <xdr:colOff>123825</xdr:colOff>
                    <xdr:row>5</xdr:row>
                    <xdr:rowOff>123825</xdr:rowOff>
                  </from>
                  <to>
                    <xdr:col>2</xdr:col>
                    <xdr:colOff>361950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62" r:id="rId5" name="Check Box 2">
              <controlPr defaultSize="0" autoFill="0" autoLine="0" autoPict="0">
                <anchor moveWithCells="1">
                  <from>
                    <xdr:col>4</xdr:col>
                    <xdr:colOff>209550</xdr:colOff>
                    <xdr:row>5</xdr:row>
                    <xdr:rowOff>114300</xdr:rowOff>
                  </from>
                  <to>
                    <xdr:col>4</xdr:col>
                    <xdr:colOff>447675</xdr:colOff>
                    <xdr:row>13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E1A6-9D6D-4C21-A7D2-C758E9B34184}">
  <dimension ref="A1:J49"/>
  <sheetViews>
    <sheetView workbookViewId="0">
      <selection sqref="A1:XFD1048576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2.28515625" style="41" customWidth="1"/>
    <col min="7" max="7" width="13.42578125" style="41" customWidth="1"/>
    <col min="8" max="8" width="24.8554687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376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373</v>
      </c>
      <c r="F10" s="469"/>
      <c r="G10" s="214" t="s">
        <v>186</v>
      </c>
      <c r="H10" s="190">
        <v>46066</v>
      </c>
      <c r="I10" s="215"/>
    </row>
    <row r="11" spans="1:9" ht="15.75" x14ac:dyDescent="0.25">
      <c r="A11" s="470" t="s">
        <v>187</v>
      </c>
      <c r="B11" s="471"/>
      <c r="C11" s="527" t="s">
        <v>409</v>
      </c>
      <c r="D11" s="474"/>
      <c r="E11" s="474"/>
      <c r="F11" s="464"/>
      <c r="G11" s="447" t="s">
        <v>188</v>
      </c>
      <c r="H11" s="234" t="s">
        <v>374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375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/>
      <c r="B15" s="220"/>
      <c r="C15" s="220"/>
      <c r="D15" s="220"/>
      <c r="E15" s="220"/>
      <c r="F15" s="221"/>
      <c r="G15" s="187"/>
      <c r="H15" s="188"/>
    </row>
    <row r="16" spans="1:9" x14ac:dyDescent="0.2">
      <c r="A16" s="218" t="s">
        <v>410</v>
      </c>
      <c r="B16" s="220"/>
      <c r="C16" s="220"/>
      <c r="D16" s="220"/>
      <c r="E16" s="220"/>
      <c r="F16" s="221"/>
      <c r="G16" s="187"/>
      <c r="H16" s="188"/>
    </row>
    <row r="17" spans="1:10" ht="15.75" x14ac:dyDescent="0.2">
      <c r="A17" s="272" t="s">
        <v>411</v>
      </c>
      <c r="B17" s="70"/>
      <c r="C17" s="70"/>
      <c r="D17" s="70"/>
      <c r="E17" s="70"/>
      <c r="F17" s="219"/>
      <c r="G17" s="224"/>
      <c r="H17" s="225">
        <v>12000</v>
      </c>
    </row>
    <row r="18" spans="1:10" x14ac:dyDescent="0.2">
      <c r="A18" s="218"/>
      <c r="B18" s="70"/>
      <c r="C18" s="70"/>
      <c r="D18" s="70"/>
      <c r="E18" s="70"/>
      <c r="F18" s="219"/>
      <c r="G18" s="187"/>
      <c r="H18" s="188"/>
    </row>
    <row r="19" spans="1:10" x14ac:dyDescent="0.2">
      <c r="A19" s="218"/>
      <c r="F19" s="188"/>
      <c r="G19" s="187"/>
      <c r="H19" s="188"/>
    </row>
    <row r="20" spans="1:10" x14ac:dyDescent="0.2">
      <c r="A20" s="272"/>
      <c r="F20" s="188"/>
      <c r="G20" s="187"/>
      <c r="H20" s="188"/>
    </row>
    <row r="21" spans="1:10" x14ac:dyDescent="0.2">
      <c r="A21" s="272"/>
      <c r="F21" s="188"/>
      <c r="G21" s="187"/>
      <c r="H21" s="188"/>
    </row>
    <row r="22" spans="1:10" x14ac:dyDescent="0.2">
      <c r="A22" s="272"/>
      <c r="F22" s="188"/>
      <c r="G22" s="187"/>
      <c r="H22" s="188"/>
    </row>
    <row r="23" spans="1:10" x14ac:dyDescent="0.2">
      <c r="A23" s="192"/>
      <c r="B23" s="193"/>
      <c r="C23" s="193"/>
      <c r="D23" s="193"/>
      <c r="E23" s="193"/>
      <c r="F23" s="194"/>
      <c r="G23" s="192"/>
      <c r="H23" s="194"/>
    </row>
    <row r="24" spans="1:10" x14ac:dyDescent="0.2">
      <c r="A24" s="192"/>
      <c r="B24" s="193"/>
      <c r="C24" s="193"/>
      <c r="D24" s="193"/>
      <c r="E24" s="193"/>
      <c r="F24" s="193"/>
      <c r="G24" s="193"/>
      <c r="H24" s="194"/>
    </row>
    <row r="25" spans="1:10" ht="15.75" x14ac:dyDescent="0.25">
      <c r="A25" s="477" t="s">
        <v>191</v>
      </c>
      <c r="B25" s="481"/>
      <c r="C25" s="481"/>
      <c r="D25" s="481"/>
      <c r="E25" s="480"/>
      <c r="F25" s="482" t="s">
        <v>192</v>
      </c>
      <c r="G25" s="483"/>
      <c r="H25" s="195" t="s">
        <v>193</v>
      </c>
    </row>
    <row r="26" spans="1:10" x14ac:dyDescent="0.2">
      <c r="A26" s="226" t="s">
        <v>377</v>
      </c>
      <c r="B26" s="197"/>
      <c r="C26" s="197"/>
      <c r="D26" s="197"/>
      <c r="E26" s="197"/>
      <c r="F26" s="484">
        <v>12000</v>
      </c>
      <c r="G26" s="484"/>
      <c r="H26" s="295"/>
      <c r="J26" s="41" t="s">
        <v>196</v>
      </c>
    </row>
    <row r="27" spans="1:10" x14ac:dyDescent="0.2">
      <c r="A27" s="226"/>
      <c r="B27" s="70" t="s">
        <v>41</v>
      </c>
      <c r="C27" s="197"/>
      <c r="D27" s="197"/>
      <c r="E27" s="197"/>
      <c r="F27" s="484"/>
      <c r="G27" s="484"/>
      <c r="H27" s="230">
        <f>SUM(F26)</f>
        <v>12000</v>
      </c>
    </row>
    <row r="28" spans="1:10" x14ac:dyDescent="0.2">
      <c r="A28" s="226"/>
      <c r="B28" s="197"/>
      <c r="C28" s="197"/>
      <c r="D28" s="197"/>
      <c r="E28" s="197"/>
      <c r="F28" s="484"/>
      <c r="G28" s="484"/>
      <c r="H28" s="227"/>
    </row>
    <row r="29" spans="1:10" x14ac:dyDescent="0.2">
      <c r="A29" s="226"/>
      <c r="C29" s="197"/>
      <c r="D29" s="197"/>
      <c r="E29" s="197"/>
      <c r="F29" s="484"/>
      <c r="G29" s="484"/>
      <c r="H29" s="227"/>
    </row>
    <row r="30" spans="1:10" x14ac:dyDescent="0.2">
      <c r="A30" s="196"/>
      <c r="B30" s="231"/>
      <c r="C30" s="197"/>
      <c r="D30" s="197"/>
      <c r="E30" s="199"/>
      <c r="F30" s="486"/>
      <c r="G30" s="486"/>
      <c r="H30" s="294"/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13</v>
      </c>
      <c r="F32" s="201"/>
      <c r="G32" s="202"/>
      <c r="H32" s="203" t="s">
        <v>14</v>
      </c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187"/>
      <c r="D34" s="188"/>
      <c r="E34" s="187"/>
      <c r="G34" s="188"/>
      <c r="H34" s="204"/>
    </row>
    <row r="35" spans="1:8" x14ac:dyDescent="0.2">
      <c r="A35" s="232" t="s">
        <v>15</v>
      </c>
      <c r="B35" s="205"/>
      <c r="C35" s="205"/>
      <c r="D35" s="206"/>
      <c r="E35" s="487" t="s">
        <v>5</v>
      </c>
      <c r="F35" s="48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H38" s="188"/>
    </row>
    <row r="39" spans="1:8" x14ac:dyDescent="0.2">
      <c r="A39" s="187"/>
      <c r="H39" s="188"/>
    </row>
    <row r="40" spans="1:8" ht="15.75" customHeight="1" x14ac:dyDescent="0.2">
      <c r="A40" s="490" t="s">
        <v>21</v>
      </c>
      <c r="B40" s="491"/>
      <c r="C40" s="491"/>
      <c r="D40" s="491"/>
      <c r="E40" s="491"/>
      <c r="F40" s="491" t="s">
        <v>22</v>
      </c>
      <c r="G40" s="491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ht="15.75" x14ac:dyDescent="0.25">
      <c r="A42" s="208" t="s">
        <v>412</v>
      </c>
      <c r="B42" s="185"/>
      <c r="C42" s="185"/>
      <c r="D42" s="185"/>
      <c r="E42" s="185"/>
      <c r="F42" s="185"/>
      <c r="G42" s="185"/>
      <c r="H42" s="186"/>
    </row>
    <row r="43" spans="1:8" ht="15.75" x14ac:dyDescent="0.25">
      <c r="A43" s="299" t="s">
        <v>378</v>
      </c>
      <c r="G43" s="209" t="s">
        <v>195</v>
      </c>
      <c r="H43" s="238"/>
    </row>
    <row r="44" spans="1:8" x14ac:dyDescent="0.2">
      <c r="A44" s="210"/>
      <c r="G44" s="209" t="s">
        <v>186</v>
      </c>
      <c r="H44" s="188"/>
    </row>
    <row r="45" spans="1:8" x14ac:dyDescent="0.2">
      <c r="A45" s="187"/>
      <c r="H45" s="188"/>
    </row>
    <row r="46" spans="1:8" x14ac:dyDescent="0.2">
      <c r="A46" s="187"/>
      <c r="H46" s="188"/>
    </row>
    <row r="47" spans="1:8" ht="15.75" thickBot="1" x14ac:dyDescent="0.25">
      <c r="A47" s="187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2">
    <mergeCell ref="G48:H48"/>
    <mergeCell ref="A37:E37"/>
    <mergeCell ref="F37:H37"/>
    <mergeCell ref="A40:E40"/>
    <mergeCell ref="F40:H40"/>
    <mergeCell ref="A41:E41"/>
    <mergeCell ref="F41:H41"/>
    <mergeCell ref="A36:D36"/>
    <mergeCell ref="E36:G36"/>
    <mergeCell ref="A13:F13"/>
    <mergeCell ref="G13:H13"/>
    <mergeCell ref="A25:E25"/>
    <mergeCell ref="F25:G25"/>
    <mergeCell ref="F26:G26"/>
    <mergeCell ref="F27:G27"/>
    <mergeCell ref="F28:G28"/>
    <mergeCell ref="F29:G29"/>
    <mergeCell ref="F30:G30"/>
    <mergeCell ref="F31:G31"/>
    <mergeCell ref="E35:G35"/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1617" r:id="rId4" name="Check Box 1">
              <controlPr defaultSize="0" autoFill="0" autoLine="0" autoPict="0">
                <anchor moveWithCells="1">
                  <from>
                    <xdr:col>2</xdr:col>
                    <xdr:colOff>104775</xdr:colOff>
                    <xdr:row>5</xdr:row>
                    <xdr:rowOff>0</xdr:rowOff>
                  </from>
                  <to>
                    <xdr:col>2</xdr:col>
                    <xdr:colOff>342900</xdr:colOff>
                    <xdr:row>13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18" r:id="rId5" name="Check Box 2">
              <controlPr defaultSize="0" autoFill="0" autoLine="0" autoPict="0">
                <anchor moveWithCells="1">
                  <from>
                    <xdr:col>3</xdr:col>
                    <xdr:colOff>428625</xdr:colOff>
                    <xdr:row>5</xdr:row>
                    <xdr:rowOff>0</xdr:rowOff>
                  </from>
                  <to>
                    <xdr:col>4</xdr:col>
                    <xdr:colOff>123825</xdr:colOff>
                    <xdr:row>13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5AFA-61A8-41F5-929E-DA6579AB2A12}">
  <dimension ref="A1:J49"/>
  <sheetViews>
    <sheetView workbookViewId="0">
      <selection sqref="A1:XFD1048576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1" style="41" customWidth="1"/>
    <col min="7" max="7" width="13.42578125" style="41" customWidth="1"/>
    <col min="8" max="8" width="24.8554687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B2" s="275"/>
      <c r="C2" s="275"/>
      <c r="D2" s="275"/>
      <c r="E2" s="275"/>
      <c r="F2" s="275"/>
      <c r="G2" s="275"/>
      <c r="H2" s="188"/>
    </row>
    <row r="3" spans="1:9" x14ac:dyDescent="0.2">
      <c r="A3" s="187"/>
      <c r="B3" s="275"/>
      <c r="C3" s="275"/>
      <c r="D3" s="275"/>
      <c r="E3" s="275"/>
      <c r="F3" s="275"/>
      <c r="G3" s="275"/>
      <c r="H3" s="188"/>
    </row>
    <row r="4" spans="1:9" x14ac:dyDescent="0.2">
      <c r="A4" s="187"/>
      <c r="B4" s="275"/>
      <c r="C4" s="275"/>
      <c r="D4" s="286"/>
      <c r="E4" s="286"/>
      <c r="F4" s="286"/>
      <c r="G4" s="286"/>
      <c r="H4" s="189"/>
      <c r="I4" s="128"/>
    </row>
    <row r="5" spans="1:9" ht="15.75" customHeight="1" x14ac:dyDescent="0.2">
      <c r="A5" s="449" t="s">
        <v>0</v>
      </c>
      <c r="B5" s="522"/>
      <c r="C5" s="522"/>
      <c r="D5" s="522"/>
      <c r="E5" s="522"/>
      <c r="F5" s="522"/>
      <c r="G5" s="522"/>
      <c r="H5" s="450"/>
      <c r="I5" s="70"/>
    </row>
    <row r="6" spans="1:9" ht="15.75" customHeight="1" x14ac:dyDescent="0.2">
      <c r="A6" s="451" t="s">
        <v>1</v>
      </c>
      <c r="B6" s="523"/>
      <c r="C6" s="523"/>
      <c r="D6" s="523"/>
      <c r="E6" s="523"/>
      <c r="F6" s="523"/>
      <c r="G6" s="523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408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46066</v>
      </c>
      <c r="I10" s="215"/>
    </row>
    <row r="11" spans="1:9" ht="15.75" x14ac:dyDescent="0.25">
      <c r="A11" s="470" t="s">
        <v>187</v>
      </c>
      <c r="B11" s="471"/>
      <c r="C11" s="474" t="s">
        <v>5</v>
      </c>
      <c r="D11" s="474"/>
      <c r="E11" s="474"/>
      <c r="F11" s="464"/>
      <c r="G11" s="447" t="s">
        <v>188</v>
      </c>
      <c r="H11" s="234" t="s">
        <v>216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217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187"/>
      <c r="B15" s="220"/>
      <c r="C15" s="220"/>
      <c r="D15" s="220"/>
      <c r="E15" s="220"/>
      <c r="F15" s="221"/>
      <c r="G15" s="187"/>
      <c r="H15" s="188"/>
    </row>
    <row r="16" spans="1:9" x14ac:dyDescent="0.2">
      <c r="A16" s="222" t="s">
        <v>398</v>
      </c>
      <c r="B16" s="220"/>
      <c r="C16" s="220"/>
      <c r="D16" s="220"/>
      <c r="E16" s="220"/>
      <c r="F16" s="221"/>
      <c r="G16" s="187"/>
      <c r="H16" s="188"/>
    </row>
    <row r="17" spans="1:10" ht="15.75" x14ac:dyDescent="0.2">
      <c r="A17" s="218" t="s">
        <v>399</v>
      </c>
      <c r="B17" s="287"/>
      <c r="C17" s="287"/>
      <c r="D17" s="287"/>
      <c r="E17" s="287"/>
      <c r="F17" s="219"/>
      <c r="G17" s="224"/>
      <c r="H17" s="225">
        <v>7688.31</v>
      </c>
    </row>
    <row r="18" spans="1:10" x14ac:dyDescent="0.2">
      <c r="A18" s="218" t="s">
        <v>400</v>
      </c>
      <c r="B18" s="287"/>
      <c r="C18" s="287"/>
      <c r="D18" s="287"/>
      <c r="E18" s="287"/>
      <c r="F18" s="219"/>
      <c r="G18" s="187"/>
      <c r="H18" s="188"/>
    </row>
    <row r="19" spans="1:10" x14ac:dyDescent="0.2">
      <c r="A19" s="218" t="s">
        <v>401</v>
      </c>
      <c r="B19" s="275"/>
      <c r="C19" s="275"/>
      <c r="D19" s="275"/>
      <c r="E19" s="275"/>
      <c r="F19" s="188"/>
      <c r="G19" s="187"/>
      <c r="H19" s="188"/>
    </row>
    <row r="20" spans="1:10" x14ac:dyDescent="0.2">
      <c r="A20" s="218" t="s">
        <v>402</v>
      </c>
      <c r="B20" s="275"/>
      <c r="C20" s="275"/>
      <c r="D20" s="275"/>
      <c r="E20" s="275"/>
      <c r="F20" s="188"/>
      <c r="G20" s="187"/>
      <c r="H20" s="188"/>
    </row>
    <row r="21" spans="1:10" x14ac:dyDescent="0.2">
      <c r="A21" s="272"/>
      <c r="B21" s="275"/>
      <c r="C21" s="275"/>
      <c r="D21" s="275"/>
      <c r="E21" s="275"/>
      <c r="F21" s="188"/>
      <c r="G21" s="187"/>
      <c r="H21" s="188"/>
    </row>
    <row r="22" spans="1:10" x14ac:dyDescent="0.2">
      <c r="A22" s="272"/>
      <c r="B22" s="275"/>
      <c r="C22" s="275"/>
      <c r="D22" s="275"/>
      <c r="E22" s="275"/>
      <c r="F22" s="188"/>
      <c r="G22" s="187"/>
      <c r="H22" s="188"/>
    </row>
    <row r="23" spans="1:10" x14ac:dyDescent="0.2">
      <c r="A23" s="192"/>
      <c r="B23" s="193"/>
      <c r="C23" s="193"/>
      <c r="D23" s="193"/>
      <c r="E23" s="193"/>
      <c r="F23" s="194"/>
      <c r="G23" s="192"/>
      <c r="H23" s="194"/>
    </row>
    <row r="24" spans="1:10" x14ac:dyDescent="0.2">
      <c r="A24" s="192"/>
      <c r="B24" s="193"/>
      <c r="C24" s="193"/>
      <c r="D24" s="193"/>
      <c r="E24" s="193"/>
      <c r="F24" s="193"/>
      <c r="G24" s="193"/>
      <c r="H24" s="194"/>
    </row>
    <row r="25" spans="1:10" ht="15.75" x14ac:dyDescent="0.25">
      <c r="A25" s="477" t="s">
        <v>191</v>
      </c>
      <c r="B25" s="481"/>
      <c r="C25" s="481"/>
      <c r="D25" s="481"/>
      <c r="E25" s="480"/>
      <c r="F25" s="482" t="s">
        <v>192</v>
      </c>
      <c r="G25" s="483"/>
      <c r="H25" s="195" t="s">
        <v>193</v>
      </c>
    </row>
    <row r="26" spans="1:10" x14ac:dyDescent="0.2">
      <c r="A26" s="226" t="s">
        <v>403</v>
      </c>
      <c r="B26" s="197"/>
      <c r="C26" s="197"/>
      <c r="D26" s="197"/>
      <c r="E26" s="197"/>
      <c r="F26" s="484">
        <v>2840</v>
      </c>
      <c r="G26" s="484"/>
      <c r="H26" s="295"/>
      <c r="J26" s="41" t="s">
        <v>196</v>
      </c>
    </row>
    <row r="27" spans="1:10" x14ac:dyDescent="0.2">
      <c r="A27" s="226" t="s">
        <v>404</v>
      </c>
      <c r="B27" s="275"/>
      <c r="C27" s="197"/>
      <c r="D27" s="197"/>
      <c r="E27" s="197"/>
      <c r="F27" s="484">
        <v>4100.3100000000004</v>
      </c>
      <c r="G27" s="484"/>
      <c r="H27" s="230"/>
    </row>
    <row r="28" spans="1:10" x14ac:dyDescent="0.2">
      <c r="A28" s="226" t="s">
        <v>405</v>
      </c>
      <c r="B28" s="197"/>
      <c r="C28" s="197"/>
      <c r="D28" s="197"/>
      <c r="E28" s="197"/>
      <c r="F28" s="484">
        <v>748</v>
      </c>
      <c r="G28" s="484"/>
      <c r="H28" s="227"/>
    </row>
    <row r="29" spans="1:10" x14ac:dyDescent="0.2">
      <c r="A29" s="226"/>
      <c r="B29" s="287" t="s">
        <v>11</v>
      </c>
      <c r="C29" s="197"/>
      <c r="D29" s="197"/>
      <c r="E29" s="197"/>
      <c r="F29" s="484"/>
      <c r="G29" s="484"/>
      <c r="H29" s="294">
        <f>SUM(F26:G28)</f>
        <v>7688.31</v>
      </c>
    </row>
    <row r="30" spans="1:10" x14ac:dyDescent="0.2">
      <c r="A30" s="196"/>
      <c r="B30" s="231"/>
      <c r="C30" s="197"/>
      <c r="D30" s="197"/>
      <c r="E30" s="199"/>
      <c r="F30" s="486"/>
      <c r="G30" s="486"/>
      <c r="H30" s="294"/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13</v>
      </c>
      <c r="F32" s="201"/>
      <c r="G32" s="202"/>
      <c r="H32" s="203" t="s">
        <v>14</v>
      </c>
    </row>
    <row r="33" spans="1:8" x14ac:dyDescent="0.2">
      <c r="A33" s="187"/>
      <c r="B33" s="275"/>
      <c r="C33" s="275"/>
      <c r="D33" s="188"/>
      <c r="E33" s="187"/>
      <c r="F33" s="275"/>
      <c r="G33" s="188"/>
      <c r="H33" s="204"/>
    </row>
    <row r="34" spans="1:8" x14ac:dyDescent="0.2">
      <c r="A34" s="187"/>
      <c r="B34" s="275"/>
      <c r="C34" s="275"/>
      <c r="D34" s="188"/>
      <c r="E34" s="187"/>
      <c r="F34" s="275"/>
      <c r="G34" s="188"/>
      <c r="H34" s="204"/>
    </row>
    <row r="35" spans="1:8" x14ac:dyDescent="0.2">
      <c r="A35" s="232" t="s">
        <v>15</v>
      </c>
      <c r="B35" s="323"/>
      <c r="C35" s="323"/>
      <c r="D35" s="206"/>
      <c r="E35" s="487" t="s">
        <v>5</v>
      </c>
      <c r="F35" s="52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B38" s="275"/>
      <c r="C38" s="275"/>
      <c r="D38" s="275"/>
      <c r="E38" s="275"/>
      <c r="F38" s="275"/>
      <c r="G38" s="275"/>
      <c r="H38" s="188"/>
    </row>
    <row r="39" spans="1:8" x14ac:dyDescent="0.2">
      <c r="A39" s="187"/>
      <c r="B39" s="275"/>
      <c r="C39" s="275"/>
      <c r="D39" s="275"/>
      <c r="E39" s="275"/>
      <c r="F39" s="275"/>
      <c r="G39" s="275"/>
      <c r="H39" s="188"/>
    </row>
    <row r="40" spans="1:8" ht="15.75" customHeight="1" x14ac:dyDescent="0.2">
      <c r="A40" s="490" t="s">
        <v>21</v>
      </c>
      <c r="B40" s="529"/>
      <c r="C40" s="529"/>
      <c r="D40" s="529"/>
      <c r="E40" s="529"/>
      <c r="F40" s="529" t="s">
        <v>22</v>
      </c>
      <c r="G40" s="529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406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237" t="s">
        <v>407</v>
      </c>
      <c r="B43" s="275"/>
      <c r="C43" s="275"/>
      <c r="D43" s="275"/>
      <c r="E43" s="275"/>
      <c r="F43" s="275"/>
      <c r="G43" s="324" t="s">
        <v>195</v>
      </c>
      <c r="H43" s="238"/>
    </row>
    <row r="44" spans="1:8" x14ac:dyDescent="0.2">
      <c r="A44" s="210"/>
      <c r="B44" s="275"/>
      <c r="C44" s="275"/>
      <c r="D44" s="275"/>
      <c r="E44" s="275"/>
      <c r="F44" s="275"/>
      <c r="G44" s="324" t="s">
        <v>186</v>
      </c>
      <c r="H44" s="188"/>
    </row>
    <row r="45" spans="1:8" x14ac:dyDescent="0.2">
      <c r="A45" s="187"/>
      <c r="B45" s="275"/>
      <c r="C45" s="275"/>
      <c r="D45" s="275"/>
      <c r="E45" s="275"/>
      <c r="F45" s="275"/>
      <c r="G45" s="275"/>
      <c r="H45" s="188"/>
    </row>
    <row r="46" spans="1:8" x14ac:dyDescent="0.2">
      <c r="A46" s="187"/>
      <c r="B46" s="275"/>
      <c r="C46" s="275"/>
      <c r="D46" s="275"/>
      <c r="E46" s="275"/>
      <c r="F46" s="275"/>
      <c r="G46" s="275"/>
      <c r="H46" s="188"/>
    </row>
    <row r="47" spans="1:8" ht="15.75" thickBot="1" x14ac:dyDescent="0.25">
      <c r="A47" s="187"/>
      <c r="B47" s="275"/>
      <c r="C47" s="275"/>
      <c r="D47" s="275"/>
      <c r="E47" s="275"/>
      <c r="F47" s="275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2">
    <mergeCell ref="G48:H48"/>
    <mergeCell ref="A37:E37"/>
    <mergeCell ref="F37:H37"/>
    <mergeCell ref="A40:E40"/>
    <mergeCell ref="F40:H40"/>
    <mergeCell ref="A41:E41"/>
    <mergeCell ref="F41:H41"/>
    <mergeCell ref="A36:D36"/>
    <mergeCell ref="E36:G36"/>
    <mergeCell ref="A13:F13"/>
    <mergeCell ref="G13:H13"/>
    <mergeCell ref="A25:E25"/>
    <mergeCell ref="F25:G25"/>
    <mergeCell ref="F26:G26"/>
    <mergeCell ref="F27:G27"/>
    <mergeCell ref="F28:G28"/>
    <mergeCell ref="F29:G29"/>
    <mergeCell ref="F30:G30"/>
    <mergeCell ref="F31:G31"/>
    <mergeCell ref="E35:G35"/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3185" r:id="rId4" name="Check Box 1">
              <controlPr defaultSize="0" autoFill="0" autoLine="0" autoPict="0">
                <anchor moveWithCells="1">
                  <from>
                    <xdr:col>2</xdr:col>
                    <xdr:colOff>123825</xdr:colOff>
                    <xdr:row>5</xdr:row>
                    <xdr:rowOff>0</xdr:rowOff>
                  </from>
                  <to>
                    <xdr:col>2</xdr:col>
                    <xdr:colOff>361950</xdr:colOff>
                    <xdr:row>13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3186" r:id="rId5" name="Check Box 2">
              <controlPr defaultSize="0" autoFill="0" autoLine="0" autoPict="0">
                <anchor moveWithCells="1">
                  <from>
                    <xdr:col>4</xdr:col>
                    <xdr:colOff>200025</xdr:colOff>
                    <xdr:row>5</xdr:row>
                    <xdr:rowOff>0</xdr:rowOff>
                  </from>
                  <to>
                    <xdr:col>4</xdr:col>
                    <xdr:colOff>438150</xdr:colOff>
                    <xdr:row>13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95068-8FC7-4FB3-82C9-39C438FFA3D2}">
  <sheetPr>
    <pageSetUpPr fitToPage="1"/>
  </sheetPr>
  <dimension ref="A1:N69"/>
  <sheetViews>
    <sheetView workbookViewId="0">
      <selection sqref="A1:XFD1048576"/>
    </sheetView>
  </sheetViews>
  <sheetFormatPr defaultRowHeight="15" x14ac:dyDescent="0.25"/>
  <cols>
    <col min="1" max="1" width="12.5703125" style="269" customWidth="1"/>
    <col min="2" max="2" width="37" style="21" customWidth="1"/>
    <col min="3" max="3" width="14.85546875" style="296" bestFit="1" customWidth="1"/>
    <col min="4" max="4" width="14.85546875" style="270" bestFit="1" customWidth="1"/>
    <col min="5" max="5" width="13.7109375" style="270" bestFit="1" customWidth="1"/>
    <col min="6" max="6" width="10.85546875" style="270" bestFit="1" customWidth="1"/>
  </cols>
  <sheetData>
    <row r="1" spans="1:14" x14ac:dyDescent="0.25">
      <c r="A1" s="239"/>
      <c r="B1" s="241"/>
      <c r="C1" s="242"/>
      <c r="D1" s="307"/>
      <c r="E1" s="307"/>
      <c r="F1" s="243"/>
    </row>
    <row r="2" spans="1:14" x14ac:dyDescent="0.25">
      <c r="A2" s="244"/>
      <c r="B2" s="316"/>
      <c r="C2" s="302"/>
      <c r="D2" s="301"/>
      <c r="E2" s="301"/>
      <c r="F2" s="247"/>
    </row>
    <row r="3" spans="1:14" x14ac:dyDescent="0.25">
      <c r="A3" s="244"/>
      <c r="B3" s="316"/>
      <c r="C3" s="302"/>
      <c r="D3" s="301"/>
      <c r="E3" s="301"/>
      <c r="F3" s="247"/>
    </row>
    <row r="4" spans="1:14" x14ac:dyDescent="0.25">
      <c r="A4" s="244"/>
      <c r="B4" s="316"/>
      <c r="C4" s="302"/>
      <c r="D4" s="301"/>
      <c r="E4" s="301"/>
      <c r="F4" s="247"/>
    </row>
    <row r="5" spans="1:14" x14ac:dyDescent="0.25">
      <c r="A5" s="505" t="s">
        <v>0</v>
      </c>
      <c r="B5" s="530"/>
      <c r="C5" s="530"/>
      <c r="D5" s="530"/>
      <c r="E5" s="530"/>
      <c r="F5" s="507"/>
    </row>
    <row r="6" spans="1:14" x14ac:dyDescent="0.25">
      <c r="A6" s="508" t="s">
        <v>52</v>
      </c>
      <c r="B6" s="531"/>
      <c r="C6" s="531"/>
      <c r="D6" s="531"/>
      <c r="E6" s="531"/>
      <c r="F6" s="510"/>
    </row>
    <row r="7" spans="1:14" x14ac:dyDescent="0.25">
      <c r="A7" s="511" t="s">
        <v>2</v>
      </c>
      <c r="B7" s="512"/>
      <c r="C7" s="512"/>
      <c r="D7" s="512"/>
      <c r="E7" s="512"/>
      <c r="F7" s="513"/>
    </row>
    <row r="8" spans="1:14" ht="23.25" x14ac:dyDescent="0.25">
      <c r="A8" s="532" t="s">
        <v>379</v>
      </c>
      <c r="B8" s="533"/>
      <c r="C8" s="533"/>
      <c r="D8" s="533"/>
      <c r="E8" s="533"/>
      <c r="F8" s="534"/>
    </row>
    <row r="9" spans="1:14" ht="25.5" customHeight="1" x14ac:dyDescent="0.25">
      <c r="A9" s="535" t="s">
        <v>397</v>
      </c>
      <c r="B9" s="536"/>
      <c r="C9" s="536"/>
      <c r="D9" s="536"/>
      <c r="E9" s="536"/>
      <c r="F9" s="537"/>
      <c r="G9" s="310"/>
      <c r="H9" s="310"/>
      <c r="I9" s="310"/>
      <c r="J9" s="310"/>
      <c r="K9" s="310"/>
      <c r="L9" s="310"/>
      <c r="M9" s="310"/>
      <c r="N9" s="310"/>
    </row>
    <row r="10" spans="1:14" s="252" customFormat="1" ht="30.75" customHeight="1" x14ac:dyDescent="0.25">
      <c r="A10" s="311" t="s">
        <v>224</v>
      </c>
      <c r="B10" s="312" t="s">
        <v>189</v>
      </c>
      <c r="C10" s="313" t="s">
        <v>30</v>
      </c>
      <c r="D10" s="314" t="s">
        <v>155</v>
      </c>
      <c r="E10" s="315" t="s">
        <v>37</v>
      </c>
      <c r="F10" s="300" t="s">
        <v>393</v>
      </c>
    </row>
    <row r="11" spans="1:14" x14ac:dyDescent="0.25">
      <c r="A11" s="239">
        <v>46065</v>
      </c>
      <c r="B11" s="241" t="s">
        <v>387</v>
      </c>
      <c r="C11" s="273" t="s">
        <v>381</v>
      </c>
      <c r="D11" s="308">
        <v>670</v>
      </c>
      <c r="E11" s="303"/>
      <c r="F11" s="274"/>
    </row>
    <row r="12" spans="1:14" x14ac:dyDescent="0.25">
      <c r="A12" s="244"/>
      <c r="B12" s="21" t="s">
        <v>382</v>
      </c>
      <c r="C12" s="253" t="s">
        <v>383</v>
      </c>
      <c r="D12" s="301"/>
      <c r="E12" s="301"/>
      <c r="F12" s="247">
        <v>110</v>
      </c>
    </row>
    <row r="13" spans="1:14" x14ac:dyDescent="0.25">
      <c r="A13" s="244"/>
      <c r="B13" s="21" t="s">
        <v>157</v>
      </c>
      <c r="C13" s="253" t="s">
        <v>384</v>
      </c>
      <c r="D13" s="301"/>
      <c r="E13" s="301">
        <v>2100.31</v>
      </c>
      <c r="F13" s="247"/>
    </row>
    <row r="14" spans="1:14" x14ac:dyDescent="0.25">
      <c r="A14" s="244">
        <v>46066</v>
      </c>
      <c r="B14" s="21" t="s">
        <v>388</v>
      </c>
      <c r="C14" s="253" t="s">
        <v>385</v>
      </c>
      <c r="D14" s="301">
        <v>85</v>
      </c>
      <c r="E14" s="301"/>
      <c r="F14" s="247"/>
    </row>
    <row r="15" spans="1:14" x14ac:dyDescent="0.25">
      <c r="A15" s="244"/>
      <c r="B15" s="21" t="s">
        <v>387</v>
      </c>
      <c r="C15" s="253" t="s">
        <v>386</v>
      </c>
      <c r="D15" s="301">
        <v>585</v>
      </c>
      <c r="E15" s="301"/>
      <c r="F15" s="247"/>
    </row>
    <row r="16" spans="1:14" x14ac:dyDescent="0.25">
      <c r="A16" s="244"/>
      <c r="B16" s="21" t="s">
        <v>380</v>
      </c>
      <c r="C16" s="253" t="s">
        <v>389</v>
      </c>
      <c r="D16" s="301">
        <v>1500</v>
      </c>
      <c r="E16" s="301"/>
      <c r="F16" s="247"/>
    </row>
    <row r="17" spans="1:6" x14ac:dyDescent="0.25">
      <c r="A17" s="244"/>
      <c r="B17" s="21" t="s">
        <v>157</v>
      </c>
      <c r="C17" s="253" t="s">
        <v>390</v>
      </c>
      <c r="D17" s="301"/>
      <c r="E17" s="301">
        <v>2000</v>
      </c>
      <c r="F17" s="247"/>
    </row>
    <row r="18" spans="1:6" x14ac:dyDescent="0.25">
      <c r="A18" s="244"/>
      <c r="B18" s="21" t="s">
        <v>391</v>
      </c>
      <c r="C18" s="253" t="s">
        <v>392</v>
      </c>
      <c r="D18" s="301"/>
      <c r="E18" s="301"/>
      <c r="F18" s="247">
        <v>188</v>
      </c>
    </row>
    <row r="19" spans="1:6" x14ac:dyDescent="0.25">
      <c r="A19" s="244"/>
      <c r="B19" s="21" t="s">
        <v>394</v>
      </c>
      <c r="C19" s="253" t="s">
        <v>395</v>
      </c>
      <c r="D19" s="301"/>
      <c r="E19" s="301"/>
      <c r="F19" s="247">
        <v>310</v>
      </c>
    </row>
    <row r="20" spans="1:6" x14ac:dyDescent="0.25">
      <c r="A20" s="244"/>
      <c r="B20" s="21" t="s">
        <v>165</v>
      </c>
      <c r="C20" s="296" t="s">
        <v>396</v>
      </c>
      <c r="D20" s="301"/>
      <c r="E20" s="301"/>
      <c r="F20" s="247">
        <v>140</v>
      </c>
    </row>
    <row r="21" spans="1:6" x14ac:dyDescent="0.25">
      <c r="A21" s="244"/>
      <c r="C21" s="253"/>
      <c r="D21" s="303"/>
      <c r="E21" s="303"/>
      <c r="F21" s="254"/>
    </row>
    <row r="22" spans="1:6" x14ac:dyDescent="0.25">
      <c r="A22" s="244"/>
      <c r="C22" s="255"/>
      <c r="D22" s="304"/>
      <c r="E22" s="304"/>
      <c r="F22" s="256"/>
    </row>
    <row r="23" spans="1:6" x14ac:dyDescent="0.25">
      <c r="A23" s="244"/>
      <c r="C23" s="255"/>
      <c r="D23" s="304"/>
      <c r="E23" s="304"/>
      <c r="F23" s="256"/>
    </row>
    <row r="24" spans="1:6" x14ac:dyDescent="0.25">
      <c r="A24" s="244"/>
      <c r="C24" s="255"/>
      <c r="D24" s="304"/>
      <c r="E24" s="304"/>
      <c r="F24" s="256"/>
    </row>
    <row r="25" spans="1:6" x14ac:dyDescent="0.25">
      <c r="A25" s="244"/>
      <c r="C25" s="255"/>
      <c r="D25" s="304"/>
      <c r="E25" s="304"/>
      <c r="F25" s="256"/>
    </row>
    <row r="26" spans="1:6" x14ac:dyDescent="0.25">
      <c r="A26" s="244"/>
      <c r="C26" s="255"/>
      <c r="D26" s="304"/>
      <c r="E26" s="304"/>
      <c r="F26" s="256"/>
    </row>
    <row r="27" spans="1:6" x14ac:dyDescent="0.25">
      <c r="A27" s="244"/>
      <c r="C27" s="255"/>
      <c r="D27" s="304"/>
      <c r="E27" s="304"/>
      <c r="F27" s="256"/>
    </row>
    <row r="28" spans="1:6" x14ac:dyDescent="0.25">
      <c r="A28" s="244"/>
      <c r="C28" s="255"/>
      <c r="D28" s="304"/>
      <c r="E28" s="304"/>
      <c r="F28" s="256"/>
    </row>
    <row r="29" spans="1:6" x14ac:dyDescent="0.25">
      <c r="A29" s="244"/>
      <c r="C29" s="255"/>
      <c r="D29" s="304"/>
      <c r="E29" s="304"/>
      <c r="F29" s="256"/>
    </row>
    <row r="30" spans="1:6" x14ac:dyDescent="0.25">
      <c r="A30" s="244"/>
      <c r="C30" s="255"/>
      <c r="D30" s="304"/>
      <c r="E30" s="304"/>
      <c r="F30" s="256"/>
    </row>
    <row r="31" spans="1:6" x14ac:dyDescent="0.25">
      <c r="A31" s="244"/>
      <c r="C31" s="255"/>
      <c r="D31" s="304"/>
      <c r="E31" s="304"/>
      <c r="F31" s="256"/>
    </row>
    <row r="32" spans="1:6" x14ac:dyDescent="0.25">
      <c r="A32" s="244"/>
      <c r="C32" s="255"/>
      <c r="D32" s="304"/>
      <c r="E32" s="304"/>
      <c r="F32" s="256"/>
    </row>
    <row r="33" spans="1:6" x14ac:dyDescent="0.25">
      <c r="A33" s="244"/>
      <c r="D33" s="301"/>
      <c r="E33" s="301"/>
      <c r="F33" s="247"/>
    </row>
    <row r="34" spans="1:6" x14ac:dyDescent="0.25">
      <c r="A34" s="244"/>
      <c r="C34" s="255"/>
      <c r="D34" s="305"/>
      <c r="E34" s="305"/>
      <c r="F34" s="257"/>
    </row>
    <row r="35" spans="1:6" x14ac:dyDescent="0.25">
      <c r="A35" s="244"/>
      <c r="C35" s="255"/>
      <c r="D35" s="305"/>
      <c r="E35" s="305"/>
      <c r="F35" s="257"/>
    </row>
    <row r="36" spans="1:6" x14ac:dyDescent="0.25">
      <c r="A36" s="244"/>
      <c r="C36" s="255"/>
      <c r="D36" s="305"/>
      <c r="E36" s="305"/>
      <c r="F36" s="257"/>
    </row>
    <row r="37" spans="1:6" x14ac:dyDescent="0.25">
      <c r="A37" s="244"/>
      <c r="C37" s="255"/>
      <c r="D37" s="305"/>
      <c r="E37" s="305"/>
      <c r="F37" s="257"/>
    </row>
    <row r="38" spans="1:6" x14ac:dyDescent="0.25">
      <c r="A38" s="244"/>
      <c r="C38" s="255"/>
      <c r="D38" s="305"/>
      <c r="E38" s="305"/>
      <c r="F38" s="257"/>
    </row>
    <row r="39" spans="1:6" x14ac:dyDescent="0.25">
      <c r="A39" s="244"/>
      <c r="C39" s="255"/>
      <c r="D39" s="305"/>
      <c r="E39" s="305"/>
      <c r="F39" s="257"/>
    </row>
    <row r="40" spans="1:6" x14ac:dyDescent="0.25">
      <c r="A40" s="244"/>
      <c r="C40" s="255"/>
      <c r="D40" s="305"/>
      <c r="E40" s="305"/>
      <c r="F40" s="257"/>
    </row>
    <row r="41" spans="1:6" x14ac:dyDescent="0.25">
      <c r="A41" s="244"/>
      <c r="C41" s="255"/>
      <c r="D41" s="305"/>
      <c r="E41" s="305"/>
      <c r="F41" s="257"/>
    </row>
    <row r="42" spans="1:6" x14ac:dyDescent="0.25">
      <c r="A42" s="244"/>
      <c r="C42" s="255"/>
      <c r="D42" s="321"/>
      <c r="E42" s="321"/>
      <c r="F42" s="322"/>
    </row>
    <row r="43" spans="1:6" x14ac:dyDescent="0.25">
      <c r="A43" s="244"/>
      <c r="C43" s="255"/>
      <c r="D43" s="319">
        <f>SUM(D11:D22)</f>
        <v>2840</v>
      </c>
      <c r="E43" s="319">
        <f t="shared" ref="E43:F43" si="0">SUM(E11:E22)</f>
        <v>4100.3099999999995</v>
      </c>
      <c r="F43" s="320">
        <f t="shared" si="0"/>
        <v>748</v>
      </c>
    </row>
    <row r="44" spans="1:6" ht="15.75" x14ac:dyDescent="0.25">
      <c r="A44" s="244"/>
      <c r="C44" s="47" t="s">
        <v>32</v>
      </c>
      <c r="D44" s="306">
        <f>SUM(D43:F43)</f>
        <v>7688.3099999999995</v>
      </c>
      <c r="E44" s="306"/>
      <c r="F44" s="258"/>
    </row>
    <row r="45" spans="1:6" ht="15.75" x14ac:dyDescent="0.25">
      <c r="A45" s="244"/>
      <c r="C45" s="47"/>
      <c r="D45" s="306"/>
      <c r="E45" s="306"/>
      <c r="F45" s="258"/>
    </row>
    <row r="46" spans="1:6" x14ac:dyDescent="0.25">
      <c r="A46" s="244"/>
      <c r="D46" s="301"/>
      <c r="E46" s="301"/>
      <c r="F46" s="247"/>
    </row>
    <row r="47" spans="1:6" x14ac:dyDescent="0.25">
      <c r="A47" s="259"/>
      <c r="B47" s="261"/>
      <c r="C47" s="262"/>
      <c r="D47" s="309"/>
      <c r="E47" s="309"/>
      <c r="F47" s="263"/>
    </row>
    <row r="48" spans="1:6" ht="15.75" x14ac:dyDescent="0.25">
      <c r="A48" s="264" t="s">
        <v>12</v>
      </c>
      <c r="B48" s="201"/>
      <c r="C48" s="266"/>
      <c r="D48" s="266" t="s">
        <v>260</v>
      </c>
      <c r="E48" s="301"/>
      <c r="F48" s="247"/>
    </row>
    <row r="49" spans="1:6" ht="15.75" x14ac:dyDescent="0.25">
      <c r="A49" s="267"/>
      <c r="B49" s="41"/>
      <c r="C49" s="41"/>
      <c r="D49" s="301"/>
      <c r="E49" s="301"/>
      <c r="F49" s="247"/>
    </row>
    <row r="50" spans="1:6" ht="15.75" x14ac:dyDescent="0.25">
      <c r="A50" s="267"/>
      <c r="B50" s="41"/>
      <c r="C50" s="41"/>
      <c r="D50" s="301"/>
      <c r="E50" s="301"/>
      <c r="F50" s="247"/>
    </row>
    <row r="51" spans="1:6" x14ac:dyDescent="0.25">
      <c r="A51" s="520" t="s">
        <v>15</v>
      </c>
      <c r="B51" s="521"/>
      <c r="C51" s="317"/>
      <c r="D51" s="488" t="s">
        <v>5</v>
      </c>
      <c r="E51" s="488"/>
      <c r="F51" s="489"/>
    </row>
    <row r="52" spans="1:6" x14ac:dyDescent="0.25">
      <c r="A52" s="503" t="s">
        <v>17</v>
      </c>
      <c r="B52" s="504"/>
      <c r="C52" s="318"/>
      <c r="D52" s="455" t="s">
        <v>18</v>
      </c>
      <c r="E52" s="455"/>
      <c r="F52" s="456"/>
    </row>
    <row r="53" spans="1:6" x14ac:dyDescent="0.25">
      <c r="A53" s="497" t="s">
        <v>261</v>
      </c>
      <c r="B53" s="495"/>
      <c r="C53" s="495"/>
      <c r="D53" s="495"/>
      <c r="E53" s="495"/>
      <c r="F53" s="496"/>
    </row>
    <row r="54" spans="1:6" ht="15.75" x14ac:dyDescent="0.25">
      <c r="A54" s="267"/>
      <c r="B54" s="41"/>
      <c r="C54" s="41"/>
      <c r="D54" s="275"/>
      <c r="E54" s="275"/>
      <c r="F54" s="188"/>
    </row>
    <row r="55" spans="1:6" ht="15.75" x14ac:dyDescent="0.25">
      <c r="A55" s="267"/>
      <c r="B55" s="41"/>
      <c r="C55" s="41"/>
      <c r="D55" s="275"/>
      <c r="E55" s="275"/>
      <c r="F55" s="188"/>
    </row>
    <row r="56" spans="1:6" x14ac:dyDescent="0.25">
      <c r="A56" s="490" t="s">
        <v>22</v>
      </c>
      <c r="B56" s="529"/>
      <c r="C56" s="529"/>
      <c r="D56" s="529"/>
      <c r="E56" s="529"/>
      <c r="F56" s="492"/>
    </row>
    <row r="57" spans="1:6" x14ac:dyDescent="0.25">
      <c r="A57" s="454" t="s">
        <v>24</v>
      </c>
      <c r="B57" s="455"/>
      <c r="C57" s="455"/>
      <c r="D57" s="455"/>
      <c r="E57" s="455"/>
      <c r="F57" s="456"/>
    </row>
    <row r="62" spans="1:6" x14ac:dyDescent="0.25">
      <c r="B62" s="501"/>
      <c r="C62" s="501"/>
    </row>
    <row r="63" spans="1:6" x14ac:dyDescent="0.25">
      <c r="B63" s="500"/>
      <c r="C63" s="500"/>
    </row>
    <row r="64" spans="1:6" x14ac:dyDescent="0.25">
      <c r="B64" s="297"/>
      <c r="C64" s="253"/>
    </row>
    <row r="68" spans="2:3" x14ac:dyDescent="0.25">
      <c r="B68" s="501"/>
      <c r="C68" s="501"/>
    </row>
    <row r="69" spans="2:3" x14ac:dyDescent="0.25">
      <c r="B69" s="502"/>
      <c r="C69" s="502"/>
    </row>
  </sheetData>
  <mergeCells count="16">
    <mergeCell ref="B69:C69"/>
    <mergeCell ref="A8:F8"/>
    <mergeCell ref="A9:F9"/>
    <mergeCell ref="D51:F51"/>
    <mergeCell ref="D52:F52"/>
    <mergeCell ref="A53:F53"/>
    <mergeCell ref="A52:B52"/>
    <mergeCell ref="B62:C62"/>
    <mergeCell ref="A56:F56"/>
    <mergeCell ref="A57:F57"/>
    <mergeCell ref="A51:B51"/>
    <mergeCell ref="A5:F5"/>
    <mergeCell ref="A6:F6"/>
    <mergeCell ref="A7:F7"/>
    <mergeCell ref="B63:C63"/>
    <mergeCell ref="B68:C68"/>
  </mergeCells>
  <pageMargins left="0.7" right="0.7" top="0.75" bottom="0.75" header="0.3" footer="0.3"/>
  <pageSetup paperSize="9" scale="84" fitToHeight="0" orientation="portrait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13EE9-3E38-4841-91DF-B0A60DF69225}">
  <dimension ref="A1:J49"/>
  <sheetViews>
    <sheetView workbookViewId="0">
      <selection activeCell="H35" sqref="H35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1" style="41" customWidth="1"/>
    <col min="7" max="7" width="13.42578125" style="41" customWidth="1"/>
    <col min="8" max="8" width="24.8554687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B2" s="275"/>
      <c r="C2" s="275"/>
      <c r="D2" s="275"/>
      <c r="E2" s="275"/>
      <c r="F2" s="275"/>
      <c r="G2" s="275"/>
      <c r="H2" s="188"/>
    </row>
    <row r="3" spans="1:9" x14ac:dyDescent="0.2">
      <c r="A3" s="187"/>
      <c r="B3" s="275"/>
      <c r="C3" s="275"/>
      <c r="D3" s="275"/>
      <c r="E3" s="275"/>
      <c r="F3" s="275"/>
      <c r="G3" s="275"/>
      <c r="H3" s="188"/>
    </row>
    <row r="4" spans="1:9" x14ac:dyDescent="0.2">
      <c r="A4" s="187"/>
      <c r="B4" s="275"/>
      <c r="C4" s="275"/>
      <c r="D4" s="286"/>
      <c r="E4" s="286"/>
      <c r="F4" s="286"/>
      <c r="G4" s="286"/>
      <c r="H4" s="189"/>
      <c r="I4" s="128"/>
    </row>
    <row r="5" spans="1:9" ht="15.75" customHeight="1" x14ac:dyDescent="0.2">
      <c r="A5" s="449" t="s">
        <v>0</v>
      </c>
      <c r="B5" s="522"/>
      <c r="C5" s="522"/>
      <c r="D5" s="522"/>
      <c r="E5" s="522"/>
      <c r="F5" s="522"/>
      <c r="G5" s="522"/>
      <c r="H5" s="450"/>
      <c r="I5" s="70"/>
    </row>
    <row r="6" spans="1:9" ht="15.75" customHeight="1" x14ac:dyDescent="0.2">
      <c r="A6" s="451" t="s">
        <v>1</v>
      </c>
      <c r="B6" s="523"/>
      <c r="C6" s="523"/>
      <c r="D6" s="523"/>
      <c r="E6" s="523"/>
      <c r="F6" s="523"/>
      <c r="G6" s="523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413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46069</v>
      </c>
      <c r="I10" s="215"/>
    </row>
    <row r="11" spans="1:9" ht="15.75" x14ac:dyDescent="0.25">
      <c r="A11" s="470" t="s">
        <v>187</v>
      </c>
      <c r="B11" s="471"/>
      <c r="C11" s="538" t="s">
        <v>414</v>
      </c>
      <c r="D11" s="538"/>
      <c r="E11" s="538"/>
      <c r="F11" s="539"/>
      <c r="G11" s="447" t="s">
        <v>188</v>
      </c>
      <c r="H11" s="234" t="s">
        <v>415</v>
      </c>
    </row>
    <row r="12" spans="1:9" ht="15.75" customHeight="1" x14ac:dyDescent="0.2">
      <c r="A12" s="472"/>
      <c r="B12" s="473"/>
      <c r="C12" s="540"/>
      <c r="D12" s="540"/>
      <c r="E12" s="540"/>
      <c r="F12" s="541"/>
      <c r="G12" s="448"/>
      <c r="H12" s="235" t="s">
        <v>201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187"/>
      <c r="B15" s="220"/>
      <c r="C15" s="220"/>
      <c r="D15" s="220"/>
      <c r="E15" s="220"/>
      <c r="F15" s="221"/>
      <c r="G15" s="187"/>
      <c r="H15" s="188"/>
    </row>
    <row r="16" spans="1:9" x14ac:dyDescent="0.2">
      <c r="A16" s="222" t="s">
        <v>416</v>
      </c>
      <c r="B16" s="220"/>
      <c r="C16" s="220"/>
      <c r="D16" s="220"/>
      <c r="E16" s="220"/>
      <c r="F16" s="221"/>
      <c r="G16" s="187"/>
      <c r="H16" s="188"/>
    </row>
    <row r="17" spans="1:10" ht="15.75" x14ac:dyDescent="0.2">
      <c r="A17" s="218" t="s">
        <v>417</v>
      </c>
      <c r="B17" s="287"/>
      <c r="C17" s="287"/>
      <c r="D17" s="287"/>
      <c r="E17" s="287"/>
      <c r="F17" s="219"/>
      <c r="G17" s="224"/>
      <c r="H17" s="225">
        <v>2100</v>
      </c>
    </row>
    <row r="18" spans="1:10" x14ac:dyDescent="0.2">
      <c r="A18" s="218" t="s">
        <v>418</v>
      </c>
      <c r="B18" s="287"/>
      <c r="C18" s="287"/>
      <c r="D18" s="287"/>
      <c r="E18" s="287"/>
      <c r="F18" s="219"/>
      <c r="G18" s="187"/>
      <c r="H18" s="188"/>
    </row>
    <row r="19" spans="1:10" x14ac:dyDescent="0.2">
      <c r="A19" s="218"/>
      <c r="B19" s="275"/>
      <c r="C19" s="275"/>
      <c r="D19" s="275"/>
      <c r="E19" s="275"/>
      <c r="F19" s="188"/>
      <c r="G19" s="187"/>
      <c r="H19" s="188"/>
    </row>
    <row r="20" spans="1:10" x14ac:dyDescent="0.2">
      <c r="A20" s="218"/>
      <c r="B20" s="275"/>
      <c r="C20" s="275"/>
      <c r="D20" s="275"/>
      <c r="E20" s="275"/>
      <c r="F20" s="188"/>
      <c r="G20" s="187"/>
      <c r="H20" s="188"/>
    </row>
    <row r="21" spans="1:10" x14ac:dyDescent="0.2">
      <c r="A21" s="272"/>
      <c r="B21" s="275"/>
      <c r="C21" s="275"/>
      <c r="D21" s="275"/>
      <c r="E21" s="275"/>
      <c r="F21" s="188"/>
      <c r="G21" s="187"/>
      <c r="H21" s="188"/>
    </row>
    <row r="22" spans="1:10" x14ac:dyDescent="0.2">
      <c r="A22" s="272"/>
      <c r="B22" s="275"/>
      <c r="C22" s="275"/>
      <c r="D22" s="275"/>
      <c r="E22" s="275"/>
      <c r="F22" s="188"/>
      <c r="G22" s="187"/>
      <c r="H22" s="188"/>
    </row>
    <row r="23" spans="1:10" x14ac:dyDescent="0.2">
      <c r="A23" s="192"/>
      <c r="B23" s="193"/>
      <c r="C23" s="193"/>
      <c r="D23" s="193"/>
      <c r="E23" s="193"/>
      <c r="F23" s="194"/>
      <c r="G23" s="192"/>
      <c r="H23" s="194"/>
    </row>
    <row r="24" spans="1:10" x14ac:dyDescent="0.2">
      <c r="A24" s="192"/>
      <c r="B24" s="193"/>
      <c r="C24" s="193"/>
      <c r="D24" s="193"/>
      <c r="E24" s="193"/>
      <c r="F24" s="193"/>
      <c r="G24" s="193"/>
      <c r="H24" s="194"/>
    </row>
    <row r="25" spans="1:10" ht="15.75" x14ac:dyDescent="0.25">
      <c r="A25" s="477" t="s">
        <v>191</v>
      </c>
      <c r="B25" s="481"/>
      <c r="C25" s="481"/>
      <c r="D25" s="481"/>
      <c r="E25" s="480"/>
      <c r="F25" s="482" t="s">
        <v>192</v>
      </c>
      <c r="G25" s="483"/>
      <c r="H25" s="195" t="s">
        <v>193</v>
      </c>
    </row>
    <row r="26" spans="1:10" x14ac:dyDescent="0.2">
      <c r="A26" s="226" t="s">
        <v>419</v>
      </c>
      <c r="B26" s="197"/>
      <c r="C26" s="197"/>
      <c r="D26" s="197"/>
      <c r="E26" s="197"/>
      <c r="F26" s="484">
        <v>2100</v>
      </c>
      <c r="G26" s="484"/>
      <c r="H26" s="298"/>
      <c r="J26" s="41" t="s">
        <v>196</v>
      </c>
    </row>
    <row r="27" spans="1:10" x14ac:dyDescent="0.2">
      <c r="A27" s="226"/>
      <c r="B27" s="287" t="s">
        <v>11</v>
      </c>
      <c r="C27" s="197"/>
      <c r="D27" s="197"/>
      <c r="E27" s="197"/>
      <c r="F27" s="484"/>
      <c r="G27" s="484"/>
      <c r="H27" s="230">
        <f>SUM(F26)</f>
        <v>2100</v>
      </c>
    </row>
    <row r="28" spans="1:10" x14ac:dyDescent="0.2">
      <c r="A28" s="226"/>
      <c r="B28" s="197"/>
      <c r="C28" s="197"/>
      <c r="D28" s="197"/>
      <c r="E28" s="197"/>
      <c r="F28" s="484"/>
      <c r="G28" s="484"/>
      <c r="H28" s="227"/>
    </row>
    <row r="29" spans="1:10" x14ac:dyDescent="0.2">
      <c r="A29" s="226"/>
      <c r="C29" s="197"/>
      <c r="D29" s="197"/>
      <c r="E29" s="197"/>
      <c r="F29" s="484"/>
      <c r="G29" s="484"/>
      <c r="H29" s="294"/>
    </row>
    <row r="30" spans="1:10" x14ac:dyDescent="0.2">
      <c r="A30" s="196"/>
      <c r="B30" s="231"/>
      <c r="C30" s="197"/>
      <c r="D30" s="197"/>
      <c r="E30" s="199"/>
      <c r="F30" s="486"/>
      <c r="G30" s="486"/>
      <c r="H30" s="294"/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13</v>
      </c>
      <c r="F32" s="201"/>
      <c r="G32" s="202"/>
      <c r="H32" s="203" t="s">
        <v>14</v>
      </c>
    </row>
    <row r="33" spans="1:8" x14ac:dyDescent="0.2">
      <c r="A33" s="187"/>
      <c r="B33" s="275"/>
      <c r="C33" s="275"/>
      <c r="D33" s="188"/>
      <c r="E33" s="187"/>
      <c r="F33" s="275"/>
      <c r="G33" s="188"/>
      <c r="H33" s="204"/>
    </row>
    <row r="34" spans="1:8" x14ac:dyDescent="0.2">
      <c r="A34" s="187"/>
      <c r="B34" s="275"/>
      <c r="C34" s="275"/>
      <c r="D34" s="188"/>
      <c r="E34" s="187"/>
      <c r="F34" s="275"/>
      <c r="G34" s="188"/>
      <c r="H34" s="204"/>
    </row>
    <row r="35" spans="1:8" x14ac:dyDescent="0.2">
      <c r="A35" s="232" t="s">
        <v>15</v>
      </c>
      <c r="B35" s="323"/>
      <c r="C35" s="323"/>
      <c r="D35" s="206"/>
      <c r="E35" s="487" t="s">
        <v>5</v>
      </c>
      <c r="F35" s="52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B38" s="275"/>
      <c r="C38" s="275"/>
      <c r="D38" s="275"/>
      <c r="E38" s="275"/>
      <c r="F38" s="275"/>
      <c r="G38" s="275"/>
      <c r="H38" s="188"/>
    </row>
    <row r="39" spans="1:8" x14ac:dyDescent="0.2">
      <c r="A39" s="187"/>
      <c r="B39" s="275"/>
      <c r="C39" s="275"/>
      <c r="D39" s="275"/>
      <c r="E39" s="275"/>
      <c r="F39" s="275"/>
      <c r="G39" s="275"/>
      <c r="H39" s="188"/>
    </row>
    <row r="40" spans="1:8" ht="15.75" customHeight="1" x14ac:dyDescent="0.2">
      <c r="A40" s="490" t="s">
        <v>21</v>
      </c>
      <c r="B40" s="529"/>
      <c r="C40" s="529"/>
      <c r="D40" s="529"/>
      <c r="E40" s="529"/>
      <c r="F40" s="529" t="s">
        <v>22</v>
      </c>
      <c r="G40" s="529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420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236" t="s">
        <v>421</v>
      </c>
      <c r="B43" s="275"/>
      <c r="C43" s="275"/>
      <c r="D43" s="275"/>
      <c r="E43" s="275"/>
      <c r="F43" s="275"/>
      <c r="G43" s="324" t="s">
        <v>195</v>
      </c>
      <c r="H43" s="238"/>
    </row>
    <row r="44" spans="1:8" x14ac:dyDescent="0.2">
      <c r="A44" s="210"/>
      <c r="B44" s="275"/>
      <c r="C44" s="275"/>
      <c r="D44" s="275"/>
      <c r="E44" s="275"/>
      <c r="F44" s="275"/>
      <c r="G44" s="324" t="s">
        <v>186</v>
      </c>
      <c r="H44" s="188"/>
    </row>
    <row r="45" spans="1:8" x14ac:dyDescent="0.2">
      <c r="A45" s="187"/>
      <c r="B45" s="275"/>
      <c r="C45" s="275"/>
      <c r="D45" s="275"/>
      <c r="E45" s="275"/>
      <c r="F45" s="275"/>
      <c r="G45" s="275"/>
      <c r="H45" s="188"/>
    </row>
    <row r="46" spans="1:8" x14ac:dyDescent="0.2">
      <c r="A46" s="187"/>
      <c r="B46" s="275"/>
      <c r="C46" s="275"/>
      <c r="D46" s="275"/>
      <c r="E46" s="275"/>
      <c r="F46" s="275"/>
      <c r="G46" s="275"/>
      <c r="H46" s="188"/>
    </row>
    <row r="47" spans="1:8" ht="15.75" thickBot="1" x14ac:dyDescent="0.25">
      <c r="A47" s="187"/>
      <c r="B47" s="275"/>
      <c r="C47" s="275"/>
      <c r="D47" s="275"/>
      <c r="E47" s="275"/>
      <c r="F47" s="275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2"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  <mergeCell ref="A36:D36"/>
    <mergeCell ref="E36:G36"/>
    <mergeCell ref="A13:F13"/>
    <mergeCell ref="G13:H13"/>
    <mergeCell ref="A25:E25"/>
    <mergeCell ref="F25:G25"/>
    <mergeCell ref="F26:G26"/>
    <mergeCell ref="F27:G27"/>
    <mergeCell ref="F28:G28"/>
    <mergeCell ref="F29:G29"/>
    <mergeCell ref="F30:G30"/>
    <mergeCell ref="F31:G31"/>
    <mergeCell ref="E35:G35"/>
    <mergeCell ref="G48:H48"/>
    <mergeCell ref="A37:E37"/>
    <mergeCell ref="F37:H37"/>
    <mergeCell ref="A40:E40"/>
    <mergeCell ref="F40:H40"/>
    <mergeCell ref="A41:E41"/>
    <mergeCell ref="F41:H41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0049" r:id="rId4" name="Check Box 1">
              <controlPr defaultSize="0" autoFill="0" autoLine="0" autoPict="0">
                <anchor moveWithCells="1">
                  <from>
                    <xdr:col>2</xdr:col>
                    <xdr:colOff>123825</xdr:colOff>
                    <xdr:row>4</xdr:row>
                    <xdr:rowOff>76200</xdr:rowOff>
                  </from>
                  <to>
                    <xdr:col>2</xdr:col>
                    <xdr:colOff>361950</xdr:colOff>
                    <xdr:row>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0050" r:id="rId5" name="Check Box 2">
              <controlPr defaultSize="0" autoFill="0" autoLine="0" autoPict="0">
                <anchor moveWithCells="1">
                  <from>
                    <xdr:col>4</xdr:col>
                    <xdr:colOff>200025</xdr:colOff>
                    <xdr:row>4</xdr:row>
                    <xdr:rowOff>66675</xdr:rowOff>
                  </from>
                  <to>
                    <xdr:col>4</xdr:col>
                    <xdr:colOff>438150</xdr:colOff>
                    <xdr:row>14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9AFAE-5569-409B-82CB-456EA1422708}">
  <dimension ref="A1:J49"/>
  <sheetViews>
    <sheetView topLeftCell="A16" workbookViewId="0">
      <selection activeCell="L19" sqref="L19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2.28515625" style="41" customWidth="1"/>
    <col min="7" max="7" width="11.85546875" style="41" customWidth="1"/>
    <col min="8" max="8" width="24.8554687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469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474</v>
      </c>
      <c r="F10" s="469"/>
      <c r="G10" s="214" t="s">
        <v>186</v>
      </c>
      <c r="H10" s="190">
        <v>46072</v>
      </c>
      <c r="I10" s="215"/>
    </row>
    <row r="11" spans="1:9" ht="15.75" x14ac:dyDescent="0.25">
      <c r="A11" s="470" t="s">
        <v>187</v>
      </c>
      <c r="B11" s="471"/>
      <c r="C11" s="527" t="s">
        <v>409</v>
      </c>
      <c r="D11" s="474"/>
      <c r="E11" s="474"/>
      <c r="F11" s="464"/>
      <c r="G11" s="447" t="s">
        <v>188</v>
      </c>
      <c r="H11" s="234" t="s">
        <v>374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375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/>
      <c r="B15" s="220"/>
      <c r="C15" s="220"/>
      <c r="D15" s="220"/>
      <c r="E15" s="220"/>
      <c r="F15" s="221"/>
      <c r="G15" s="187"/>
      <c r="H15" s="188"/>
    </row>
    <row r="16" spans="1:9" x14ac:dyDescent="0.2">
      <c r="A16" s="218" t="s">
        <v>438</v>
      </c>
      <c r="B16" s="220"/>
      <c r="C16" s="220"/>
      <c r="D16" s="220"/>
      <c r="E16" s="220"/>
      <c r="F16" s="221"/>
      <c r="G16" s="187"/>
      <c r="H16" s="188"/>
    </row>
    <row r="17" spans="1:10" ht="15.75" x14ac:dyDescent="0.2">
      <c r="A17" s="272" t="s">
        <v>422</v>
      </c>
      <c r="B17" s="70"/>
      <c r="C17" s="70"/>
      <c r="D17" s="70"/>
      <c r="E17" s="70"/>
      <c r="F17" s="219"/>
      <c r="G17" s="224"/>
      <c r="H17" s="225">
        <v>30000</v>
      </c>
    </row>
    <row r="18" spans="1:10" x14ac:dyDescent="0.2">
      <c r="A18" s="218"/>
      <c r="B18" s="70"/>
      <c r="C18" s="70"/>
      <c r="D18" s="70"/>
      <c r="E18" s="70"/>
      <c r="F18" s="219"/>
      <c r="G18" s="187"/>
      <c r="H18" s="188"/>
    </row>
    <row r="19" spans="1:10" x14ac:dyDescent="0.2">
      <c r="A19" s="218"/>
      <c r="F19" s="188"/>
      <c r="G19" s="187"/>
      <c r="H19" s="188"/>
    </row>
    <row r="20" spans="1:10" x14ac:dyDescent="0.2">
      <c r="A20" s="272"/>
      <c r="F20" s="188"/>
      <c r="G20" s="187"/>
      <c r="H20" s="188"/>
    </row>
    <row r="21" spans="1:10" x14ac:dyDescent="0.2">
      <c r="A21" s="272"/>
      <c r="F21" s="188"/>
      <c r="G21" s="187"/>
      <c r="H21" s="188"/>
    </row>
    <row r="22" spans="1:10" x14ac:dyDescent="0.2">
      <c r="A22" s="272"/>
      <c r="F22" s="188"/>
      <c r="G22" s="187"/>
      <c r="H22" s="188"/>
    </row>
    <row r="23" spans="1:10" x14ac:dyDescent="0.2">
      <c r="A23" s="192"/>
      <c r="B23" s="193"/>
      <c r="C23" s="193"/>
      <c r="D23" s="193"/>
      <c r="E23" s="193"/>
      <c r="F23" s="194"/>
      <c r="G23" s="192"/>
      <c r="H23" s="194"/>
    </row>
    <row r="24" spans="1:10" x14ac:dyDescent="0.2">
      <c r="A24" s="192"/>
      <c r="B24" s="193"/>
      <c r="C24" s="193"/>
      <c r="D24" s="193"/>
      <c r="E24" s="193"/>
      <c r="F24" s="193"/>
      <c r="G24" s="193"/>
      <c r="H24" s="194"/>
    </row>
    <row r="25" spans="1:10" ht="15.75" x14ac:dyDescent="0.25">
      <c r="A25" s="477" t="s">
        <v>191</v>
      </c>
      <c r="B25" s="481"/>
      <c r="C25" s="481"/>
      <c r="D25" s="481"/>
      <c r="E25" s="480"/>
      <c r="F25" s="482" t="s">
        <v>192</v>
      </c>
      <c r="G25" s="483"/>
      <c r="H25" s="195" t="s">
        <v>193</v>
      </c>
    </row>
    <row r="26" spans="1:10" x14ac:dyDescent="0.2">
      <c r="A26" s="226" t="s">
        <v>377</v>
      </c>
      <c r="B26" s="197"/>
      <c r="C26" s="197"/>
      <c r="D26" s="197"/>
      <c r="E26" s="197"/>
      <c r="F26" s="484">
        <v>30000</v>
      </c>
      <c r="G26" s="484"/>
      <c r="H26" s="325"/>
      <c r="J26" s="41" t="s">
        <v>196</v>
      </c>
    </row>
    <row r="27" spans="1:10" x14ac:dyDescent="0.2">
      <c r="A27" s="226"/>
      <c r="B27" s="70" t="s">
        <v>41</v>
      </c>
      <c r="C27" s="197"/>
      <c r="D27" s="197"/>
      <c r="E27" s="197"/>
      <c r="F27" s="484"/>
      <c r="G27" s="484"/>
      <c r="H27" s="230">
        <f>SUM(F26)</f>
        <v>30000</v>
      </c>
    </row>
    <row r="28" spans="1:10" x14ac:dyDescent="0.2">
      <c r="A28" s="226"/>
      <c r="B28" s="197"/>
      <c r="C28" s="197"/>
      <c r="D28" s="197"/>
      <c r="E28" s="197"/>
      <c r="F28" s="484"/>
      <c r="G28" s="484"/>
      <c r="H28" s="227"/>
    </row>
    <row r="29" spans="1:10" x14ac:dyDescent="0.2">
      <c r="A29" s="226"/>
      <c r="C29" s="197"/>
      <c r="D29" s="197"/>
      <c r="E29" s="197"/>
      <c r="F29" s="484"/>
      <c r="G29" s="484"/>
      <c r="H29" s="227"/>
    </row>
    <row r="30" spans="1:10" x14ac:dyDescent="0.2">
      <c r="A30" s="196"/>
      <c r="B30" s="231"/>
      <c r="C30" s="197"/>
      <c r="D30" s="197"/>
      <c r="E30" s="199"/>
      <c r="F30" s="486"/>
      <c r="G30" s="486"/>
      <c r="H30" s="294"/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13</v>
      </c>
      <c r="F32" s="201"/>
      <c r="G32" s="202"/>
      <c r="H32" s="203" t="s">
        <v>14</v>
      </c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187"/>
      <c r="D34" s="188"/>
      <c r="E34" s="187"/>
      <c r="G34" s="188"/>
      <c r="H34" s="204"/>
    </row>
    <row r="35" spans="1:8" x14ac:dyDescent="0.2">
      <c r="A35" s="232" t="s">
        <v>15</v>
      </c>
      <c r="B35" s="205"/>
      <c r="C35" s="205"/>
      <c r="D35" s="206"/>
      <c r="E35" s="487" t="s">
        <v>5</v>
      </c>
      <c r="F35" s="48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H38" s="188"/>
    </row>
    <row r="39" spans="1:8" x14ac:dyDescent="0.2">
      <c r="A39" s="187"/>
      <c r="H39" s="188"/>
    </row>
    <row r="40" spans="1:8" ht="15.75" customHeight="1" x14ac:dyDescent="0.2">
      <c r="A40" s="490" t="s">
        <v>21</v>
      </c>
      <c r="B40" s="491"/>
      <c r="C40" s="491"/>
      <c r="D40" s="491"/>
      <c r="E40" s="491"/>
      <c r="F40" s="491" t="s">
        <v>22</v>
      </c>
      <c r="G40" s="491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470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236" t="s">
        <v>471</v>
      </c>
      <c r="G43" s="209" t="s">
        <v>195</v>
      </c>
      <c r="H43" s="238"/>
    </row>
    <row r="44" spans="1:8" x14ac:dyDescent="0.2">
      <c r="A44" s="210"/>
      <c r="G44" s="209" t="s">
        <v>186</v>
      </c>
      <c r="H44" s="188"/>
    </row>
    <row r="45" spans="1:8" x14ac:dyDescent="0.2">
      <c r="A45" s="187"/>
      <c r="H45" s="188"/>
    </row>
    <row r="46" spans="1:8" x14ac:dyDescent="0.2">
      <c r="A46" s="187"/>
      <c r="H46" s="188"/>
    </row>
    <row r="47" spans="1:8" ht="15.75" thickBot="1" x14ac:dyDescent="0.25">
      <c r="A47" s="187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2">
    <mergeCell ref="G48:H48"/>
    <mergeCell ref="A37:E37"/>
    <mergeCell ref="F37:H37"/>
    <mergeCell ref="A40:E40"/>
    <mergeCell ref="F40:H40"/>
    <mergeCell ref="A41:E41"/>
    <mergeCell ref="F41:H41"/>
    <mergeCell ref="A36:D36"/>
    <mergeCell ref="E36:G36"/>
    <mergeCell ref="A13:F13"/>
    <mergeCell ref="G13:H13"/>
    <mergeCell ref="A25:E25"/>
    <mergeCell ref="F25:G25"/>
    <mergeCell ref="F26:G26"/>
    <mergeCell ref="F27:G27"/>
    <mergeCell ref="F28:G28"/>
    <mergeCell ref="F29:G29"/>
    <mergeCell ref="F30:G30"/>
    <mergeCell ref="F31:G31"/>
    <mergeCell ref="E35:G35"/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1073" r:id="rId4" name="Check Box 1">
              <controlPr defaultSize="0" autoFill="0" autoLine="0" autoPict="0">
                <anchor moveWithCells="1">
                  <from>
                    <xdr:col>2</xdr:col>
                    <xdr:colOff>104775</xdr:colOff>
                    <xdr:row>4</xdr:row>
                    <xdr:rowOff>66675</xdr:rowOff>
                  </from>
                  <to>
                    <xdr:col>2</xdr:col>
                    <xdr:colOff>342900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1074" r:id="rId5" name="Check Box 2">
              <controlPr defaultSize="0" autoFill="0" autoLine="0" autoPict="0">
                <anchor moveWithCells="1">
                  <from>
                    <xdr:col>3</xdr:col>
                    <xdr:colOff>428625</xdr:colOff>
                    <xdr:row>4</xdr:row>
                    <xdr:rowOff>76200</xdr:rowOff>
                  </from>
                  <to>
                    <xdr:col>4</xdr:col>
                    <xdr:colOff>123825</xdr:colOff>
                    <xdr:row>14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3AE24-564C-4457-962C-B0091F14F3C9}">
  <dimension ref="A1:J49"/>
  <sheetViews>
    <sheetView workbookViewId="0">
      <selection activeCell="H17" sqref="H17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1" style="41" customWidth="1"/>
    <col min="7" max="7" width="13.42578125" style="41" customWidth="1"/>
    <col min="8" max="8" width="24.8554687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427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46072</v>
      </c>
      <c r="I10" s="215"/>
    </row>
    <row r="11" spans="1:9" ht="15.75" x14ac:dyDescent="0.25">
      <c r="A11" s="470" t="s">
        <v>187</v>
      </c>
      <c r="B11" s="471"/>
      <c r="C11" s="474" t="s">
        <v>426</v>
      </c>
      <c r="D11" s="474"/>
      <c r="E11" s="474"/>
      <c r="F11" s="464"/>
      <c r="G11" s="447" t="s">
        <v>188</v>
      </c>
      <c r="H11" s="234" t="s">
        <v>368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201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 t="s">
        <v>423</v>
      </c>
      <c r="B15" s="220"/>
      <c r="C15" s="220"/>
      <c r="D15" s="220"/>
      <c r="E15" s="220"/>
      <c r="F15" s="221"/>
      <c r="G15" s="187"/>
      <c r="H15" s="188"/>
    </row>
    <row r="16" spans="1:9" x14ac:dyDescent="0.2">
      <c r="A16" s="218" t="s">
        <v>424</v>
      </c>
      <c r="B16" s="220"/>
      <c r="C16" s="220"/>
      <c r="D16" s="220"/>
      <c r="E16" s="220"/>
      <c r="F16" s="221"/>
      <c r="G16" s="187"/>
      <c r="H16" s="188"/>
    </row>
    <row r="17" spans="1:10" ht="15.75" x14ac:dyDescent="0.2">
      <c r="A17" s="218" t="s">
        <v>425</v>
      </c>
      <c r="B17" s="70"/>
      <c r="C17" s="70"/>
      <c r="D17" s="70"/>
      <c r="E17" s="70"/>
      <c r="F17" s="219"/>
      <c r="G17" s="224"/>
      <c r="H17" s="225">
        <v>7900</v>
      </c>
    </row>
    <row r="18" spans="1:10" x14ac:dyDescent="0.2">
      <c r="A18" s="218"/>
      <c r="B18" s="70"/>
      <c r="C18" s="70"/>
      <c r="D18" s="70"/>
      <c r="E18" s="70"/>
      <c r="F18" s="219"/>
      <c r="G18" s="187"/>
      <c r="H18" s="188"/>
    </row>
    <row r="19" spans="1:10" x14ac:dyDescent="0.2">
      <c r="A19" s="218"/>
      <c r="F19" s="188"/>
      <c r="G19" s="187"/>
      <c r="H19" s="188"/>
    </row>
    <row r="20" spans="1:10" x14ac:dyDescent="0.2">
      <c r="A20" s="272"/>
      <c r="F20" s="188"/>
      <c r="G20" s="187"/>
      <c r="H20" s="188"/>
    </row>
    <row r="21" spans="1:10" x14ac:dyDescent="0.2">
      <c r="A21" s="272"/>
      <c r="F21" s="188"/>
      <c r="G21" s="187"/>
      <c r="H21" s="188"/>
    </row>
    <row r="22" spans="1:10" x14ac:dyDescent="0.2">
      <c r="A22" s="272"/>
      <c r="F22" s="188"/>
      <c r="G22" s="187"/>
      <c r="H22" s="188"/>
    </row>
    <row r="23" spans="1:10" x14ac:dyDescent="0.2">
      <c r="A23" s="192"/>
      <c r="B23" s="193"/>
      <c r="C23" s="193"/>
      <c r="D23" s="193"/>
      <c r="E23" s="193"/>
      <c r="F23" s="194"/>
      <c r="G23" s="192"/>
      <c r="H23" s="194"/>
    </row>
    <row r="24" spans="1:10" x14ac:dyDescent="0.2">
      <c r="A24" s="192"/>
      <c r="B24" s="193"/>
      <c r="C24" s="193"/>
      <c r="D24" s="193"/>
      <c r="E24" s="193"/>
      <c r="F24" s="193"/>
      <c r="G24" s="193"/>
      <c r="H24" s="194"/>
    </row>
    <row r="25" spans="1:10" ht="15.75" x14ac:dyDescent="0.25">
      <c r="A25" s="477" t="s">
        <v>191</v>
      </c>
      <c r="B25" s="481"/>
      <c r="C25" s="481"/>
      <c r="D25" s="481"/>
      <c r="E25" s="480"/>
      <c r="F25" s="482" t="s">
        <v>192</v>
      </c>
      <c r="G25" s="483"/>
      <c r="H25" s="195" t="s">
        <v>193</v>
      </c>
    </row>
    <row r="26" spans="1:10" x14ac:dyDescent="0.2">
      <c r="A26" s="226" t="s">
        <v>472</v>
      </c>
      <c r="B26" s="197"/>
      <c r="C26" s="197"/>
      <c r="D26" s="197"/>
      <c r="E26" s="197"/>
      <c r="F26" s="484">
        <v>7900</v>
      </c>
      <c r="G26" s="484"/>
      <c r="H26" s="325"/>
      <c r="J26" s="41" t="s">
        <v>196</v>
      </c>
    </row>
    <row r="27" spans="1:10" x14ac:dyDescent="0.2">
      <c r="A27" s="226"/>
      <c r="B27" s="70" t="s">
        <v>11</v>
      </c>
      <c r="C27" s="197"/>
      <c r="D27" s="197"/>
      <c r="E27" s="197"/>
      <c r="F27" s="484"/>
      <c r="G27" s="484"/>
      <c r="H27" s="230">
        <f>SUM(F26)</f>
        <v>7900</v>
      </c>
    </row>
    <row r="28" spans="1:10" x14ac:dyDescent="0.2">
      <c r="A28" s="226"/>
      <c r="B28" s="197"/>
      <c r="C28" s="197"/>
      <c r="D28" s="197"/>
      <c r="E28" s="197"/>
      <c r="F28" s="484"/>
      <c r="G28" s="484"/>
      <c r="H28" s="227"/>
    </row>
    <row r="29" spans="1:10" x14ac:dyDescent="0.2">
      <c r="A29" s="226"/>
      <c r="C29" s="197"/>
      <c r="D29" s="197"/>
      <c r="E29" s="197"/>
      <c r="F29" s="484"/>
      <c r="G29" s="484"/>
      <c r="H29" s="227"/>
    </row>
    <row r="30" spans="1:10" x14ac:dyDescent="0.2">
      <c r="A30" s="196"/>
      <c r="B30" s="231"/>
      <c r="C30" s="197"/>
      <c r="D30" s="197"/>
      <c r="E30" s="199"/>
      <c r="F30" s="486"/>
      <c r="G30" s="486"/>
      <c r="H30" s="294"/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13</v>
      </c>
      <c r="F32" s="201"/>
      <c r="G32" s="202"/>
      <c r="H32" s="203" t="s">
        <v>14</v>
      </c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187"/>
      <c r="D34" s="188"/>
      <c r="E34" s="187"/>
      <c r="G34" s="188"/>
      <c r="H34" s="204"/>
    </row>
    <row r="35" spans="1:8" x14ac:dyDescent="0.2">
      <c r="A35" s="232" t="s">
        <v>15</v>
      </c>
      <c r="B35" s="205"/>
      <c r="C35" s="205"/>
      <c r="D35" s="206"/>
      <c r="E35" s="487" t="s">
        <v>5</v>
      </c>
      <c r="F35" s="48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H38" s="188"/>
    </row>
    <row r="39" spans="1:8" x14ac:dyDescent="0.2">
      <c r="A39" s="187"/>
      <c r="H39" s="188"/>
    </row>
    <row r="40" spans="1:8" ht="15.75" customHeight="1" x14ac:dyDescent="0.2">
      <c r="A40" s="490" t="s">
        <v>21</v>
      </c>
      <c r="B40" s="491"/>
      <c r="C40" s="491"/>
      <c r="D40" s="491"/>
      <c r="E40" s="491"/>
      <c r="F40" s="491" t="s">
        <v>22</v>
      </c>
      <c r="G40" s="491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316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237" t="s">
        <v>428</v>
      </c>
      <c r="G43" s="209" t="s">
        <v>195</v>
      </c>
      <c r="H43" s="238"/>
    </row>
    <row r="44" spans="1:8" x14ac:dyDescent="0.2">
      <c r="A44" s="210"/>
      <c r="G44" s="209" t="s">
        <v>186</v>
      </c>
      <c r="H44" s="188"/>
    </row>
    <row r="45" spans="1:8" x14ac:dyDescent="0.2">
      <c r="A45" s="187"/>
      <c r="H45" s="188"/>
    </row>
    <row r="46" spans="1:8" x14ac:dyDescent="0.2">
      <c r="A46" s="187"/>
      <c r="H46" s="188"/>
    </row>
    <row r="47" spans="1:8" ht="15.75" thickBot="1" x14ac:dyDescent="0.25">
      <c r="A47" s="187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2">
    <mergeCell ref="G48:H48"/>
    <mergeCell ref="A37:E37"/>
    <mergeCell ref="F37:H37"/>
    <mergeCell ref="A40:E40"/>
    <mergeCell ref="F40:H40"/>
    <mergeCell ref="A41:E41"/>
    <mergeCell ref="F41:H41"/>
    <mergeCell ref="A36:D36"/>
    <mergeCell ref="E36:G36"/>
    <mergeCell ref="A13:F13"/>
    <mergeCell ref="G13:H13"/>
    <mergeCell ref="A25:E25"/>
    <mergeCell ref="F25:G25"/>
    <mergeCell ref="F26:G26"/>
    <mergeCell ref="F27:G27"/>
    <mergeCell ref="F28:G28"/>
    <mergeCell ref="F29:G29"/>
    <mergeCell ref="F30:G30"/>
    <mergeCell ref="F31:G31"/>
    <mergeCell ref="E35:G35"/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2097" r:id="rId4" name="Check Box 1">
              <controlPr defaultSize="0" autoFill="0" autoLine="0" autoPict="0">
                <anchor moveWithCells="1">
                  <from>
                    <xdr:col>2</xdr:col>
                    <xdr:colOff>114300</xdr:colOff>
                    <xdr:row>4</xdr:row>
                    <xdr:rowOff>190500</xdr:rowOff>
                  </from>
                  <to>
                    <xdr:col>2</xdr:col>
                    <xdr:colOff>352425</xdr:colOff>
                    <xdr:row>13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2098" r:id="rId5" name="Check Box 2">
              <controlPr defaultSize="0" autoFill="0" autoLine="0" autoPict="0">
                <anchor moveWithCells="1">
                  <from>
                    <xdr:col>4</xdr:col>
                    <xdr:colOff>209550</xdr:colOff>
                    <xdr:row>5</xdr:row>
                    <xdr:rowOff>0</xdr:rowOff>
                  </from>
                  <to>
                    <xdr:col>4</xdr:col>
                    <xdr:colOff>447675</xdr:colOff>
                    <xdr:row>13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F17EE-B21D-4060-8882-29C7A5C7A078}">
  <dimension ref="A1:J49"/>
  <sheetViews>
    <sheetView topLeftCell="A7" workbookViewId="0">
      <selection activeCell="H19" sqref="H19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1" style="41" customWidth="1"/>
    <col min="7" max="7" width="13.42578125" style="41" customWidth="1"/>
    <col min="8" max="8" width="24.8554687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437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46072</v>
      </c>
      <c r="I10" s="215"/>
    </row>
    <row r="11" spans="1:9" ht="15.75" x14ac:dyDescent="0.25">
      <c r="A11" s="470" t="s">
        <v>187</v>
      </c>
      <c r="B11" s="471"/>
      <c r="C11" s="474" t="s">
        <v>215</v>
      </c>
      <c r="D11" s="474"/>
      <c r="E11" s="474"/>
      <c r="F11" s="464"/>
      <c r="G11" s="447" t="s">
        <v>188</v>
      </c>
      <c r="H11" s="234" t="s">
        <v>216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217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 t="s">
        <v>429</v>
      </c>
      <c r="B15" s="220"/>
      <c r="C15" s="220"/>
      <c r="D15" s="220"/>
      <c r="E15" s="220"/>
      <c r="F15" s="221"/>
      <c r="G15" s="187"/>
      <c r="H15" s="188"/>
    </row>
    <row r="16" spans="1:9" x14ac:dyDescent="0.2">
      <c r="A16" s="218" t="s">
        <v>433</v>
      </c>
      <c r="B16" s="220"/>
      <c r="C16" s="220"/>
      <c r="D16" s="220"/>
      <c r="E16" s="220"/>
      <c r="F16" s="221"/>
      <c r="G16" s="187"/>
      <c r="H16" s="188"/>
    </row>
    <row r="17" spans="1:10" ht="15.75" x14ac:dyDescent="0.2">
      <c r="A17" s="218" t="s">
        <v>430</v>
      </c>
      <c r="B17" s="70"/>
      <c r="C17" s="70"/>
      <c r="D17" s="70"/>
      <c r="E17" s="70"/>
      <c r="F17" s="219"/>
      <c r="G17" s="224"/>
      <c r="H17" s="225">
        <v>1040</v>
      </c>
    </row>
    <row r="18" spans="1:10" x14ac:dyDescent="0.2">
      <c r="A18" s="218" t="s">
        <v>431</v>
      </c>
      <c r="B18" s="70"/>
      <c r="C18" s="70"/>
      <c r="D18" s="70"/>
      <c r="E18" s="70"/>
      <c r="F18" s="219"/>
      <c r="G18" s="187"/>
      <c r="H18" s="188"/>
    </row>
    <row r="19" spans="1:10" x14ac:dyDescent="0.2">
      <c r="A19" s="330" t="s">
        <v>432</v>
      </c>
      <c r="F19" s="188"/>
      <c r="G19" s="187"/>
      <c r="H19" s="188"/>
    </row>
    <row r="20" spans="1:10" x14ac:dyDescent="0.2">
      <c r="A20" s="272"/>
      <c r="F20" s="188"/>
      <c r="G20" s="187"/>
      <c r="H20" s="188"/>
    </row>
    <row r="21" spans="1:10" x14ac:dyDescent="0.2">
      <c r="A21" s="272"/>
      <c r="F21" s="188"/>
      <c r="G21" s="187"/>
      <c r="H21" s="188"/>
    </row>
    <row r="22" spans="1:10" x14ac:dyDescent="0.2">
      <c r="A22" s="272"/>
      <c r="F22" s="188"/>
      <c r="G22" s="187"/>
      <c r="H22" s="188"/>
    </row>
    <row r="23" spans="1:10" x14ac:dyDescent="0.2">
      <c r="A23" s="192"/>
      <c r="B23" s="193"/>
      <c r="C23" s="193"/>
      <c r="D23" s="193"/>
      <c r="E23" s="193"/>
      <c r="F23" s="194"/>
      <c r="G23" s="192"/>
      <c r="H23" s="194"/>
    </row>
    <row r="24" spans="1:10" x14ac:dyDescent="0.2">
      <c r="A24" s="192"/>
      <c r="B24" s="193"/>
      <c r="C24" s="193"/>
      <c r="D24" s="193"/>
      <c r="E24" s="193"/>
      <c r="F24" s="193"/>
      <c r="G24" s="193"/>
      <c r="H24" s="194"/>
    </row>
    <row r="25" spans="1:10" ht="15.75" x14ac:dyDescent="0.25">
      <c r="A25" s="477" t="s">
        <v>191</v>
      </c>
      <c r="B25" s="481"/>
      <c r="C25" s="481"/>
      <c r="D25" s="481"/>
      <c r="E25" s="480"/>
      <c r="F25" s="482" t="s">
        <v>192</v>
      </c>
      <c r="G25" s="483"/>
      <c r="H25" s="195" t="s">
        <v>193</v>
      </c>
    </row>
    <row r="26" spans="1:10" x14ac:dyDescent="0.2">
      <c r="A26" s="226" t="s">
        <v>434</v>
      </c>
      <c r="B26" s="197"/>
      <c r="C26" s="197"/>
      <c r="D26" s="197"/>
      <c r="E26" s="197"/>
      <c r="F26" s="484">
        <v>1040</v>
      </c>
      <c r="G26" s="484"/>
      <c r="H26" s="325"/>
      <c r="J26" s="41" t="s">
        <v>196</v>
      </c>
    </row>
    <row r="27" spans="1:10" x14ac:dyDescent="0.2">
      <c r="A27" s="226"/>
      <c r="B27" s="70" t="s">
        <v>11</v>
      </c>
      <c r="C27" s="197"/>
      <c r="D27" s="197"/>
      <c r="E27" s="197"/>
      <c r="F27" s="484"/>
      <c r="G27" s="484"/>
      <c r="H27" s="230">
        <f>SUM(F26)</f>
        <v>1040</v>
      </c>
    </row>
    <row r="28" spans="1:10" x14ac:dyDescent="0.2">
      <c r="A28" s="226"/>
      <c r="B28" s="197"/>
      <c r="C28" s="197"/>
      <c r="D28" s="197"/>
      <c r="E28" s="197"/>
      <c r="F28" s="484"/>
      <c r="G28" s="484"/>
      <c r="H28" s="227"/>
    </row>
    <row r="29" spans="1:10" x14ac:dyDescent="0.2">
      <c r="A29" s="226"/>
      <c r="C29" s="197"/>
      <c r="D29" s="197"/>
      <c r="E29" s="197"/>
      <c r="F29" s="484"/>
      <c r="G29" s="484"/>
      <c r="H29" s="227"/>
    </row>
    <row r="30" spans="1:10" x14ac:dyDescent="0.2">
      <c r="A30" s="196"/>
      <c r="B30" s="231"/>
      <c r="C30" s="197"/>
      <c r="D30" s="197"/>
      <c r="E30" s="199"/>
      <c r="F30" s="486"/>
      <c r="G30" s="486"/>
      <c r="H30" s="294"/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13</v>
      </c>
      <c r="F32" s="201"/>
      <c r="G32" s="202"/>
      <c r="H32" s="203" t="s">
        <v>14</v>
      </c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187"/>
      <c r="D34" s="188"/>
      <c r="E34" s="187"/>
      <c r="G34" s="188"/>
      <c r="H34" s="204"/>
    </row>
    <row r="35" spans="1:8" x14ac:dyDescent="0.2">
      <c r="A35" s="232" t="s">
        <v>15</v>
      </c>
      <c r="B35" s="205"/>
      <c r="C35" s="205"/>
      <c r="D35" s="206"/>
      <c r="E35" s="487" t="s">
        <v>5</v>
      </c>
      <c r="F35" s="48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H38" s="188"/>
    </row>
    <row r="39" spans="1:8" x14ac:dyDescent="0.2">
      <c r="A39" s="187"/>
      <c r="H39" s="188"/>
    </row>
    <row r="40" spans="1:8" ht="15.75" customHeight="1" x14ac:dyDescent="0.2">
      <c r="A40" s="490" t="s">
        <v>21</v>
      </c>
      <c r="B40" s="491"/>
      <c r="C40" s="491"/>
      <c r="D40" s="491"/>
      <c r="E40" s="491"/>
      <c r="F40" s="491" t="s">
        <v>22</v>
      </c>
      <c r="G40" s="491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435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237" t="s">
        <v>436</v>
      </c>
      <c r="G43" s="209" t="s">
        <v>195</v>
      </c>
      <c r="H43" s="238"/>
    </row>
    <row r="44" spans="1:8" x14ac:dyDescent="0.2">
      <c r="A44" s="210"/>
      <c r="G44" s="209" t="s">
        <v>186</v>
      </c>
      <c r="H44" s="188"/>
    </row>
    <row r="45" spans="1:8" x14ac:dyDescent="0.2">
      <c r="A45" s="187"/>
      <c r="H45" s="188"/>
    </row>
    <row r="46" spans="1:8" x14ac:dyDescent="0.2">
      <c r="A46" s="187"/>
      <c r="H46" s="188"/>
    </row>
    <row r="47" spans="1:8" ht="15.75" thickBot="1" x14ac:dyDescent="0.25">
      <c r="A47" s="187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2">
    <mergeCell ref="G48:H48"/>
    <mergeCell ref="A37:E37"/>
    <mergeCell ref="F37:H37"/>
    <mergeCell ref="A40:E40"/>
    <mergeCell ref="F40:H40"/>
    <mergeCell ref="A41:E41"/>
    <mergeCell ref="F41:H41"/>
    <mergeCell ref="A36:D36"/>
    <mergeCell ref="E36:G36"/>
    <mergeCell ref="A13:F13"/>
    <mergeCell ref="G13:H13"/>
    <mergeCell ref="A25:E25"/>
    <mergeCell ref="F25:G25"/>
    <mergeCell ref="F26:G26"/>
    <mergeCell ref="F27:G27"/>
    <mergeCell ref="F28:G28"/>
    <mergeCell ref="F29:G29"/>
    <mergeCell ref="F30:G30"/>
    <mergeCell ref="F31:G31"/>
    <mergeCell ref="E35:G35"/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8481" r:id="rId4" name="Check Box 1">
              <controlPr defaultSize="0" autoFill="0" autoLine="0" autoPict="0">
                <anchor moveWithCells="1">
                  <from>
                    <xdr:col>2</xdr:col>
                    <xdr:colOff>114300</xdr:colOff>
                    <xdr:row>4</xdr:row>
                    <xdr:rowOff>57150</xdr:rowOff>
                  </from>
                  <to>
                    <xdr:col>2</xdr:col>
                    <xdr:colOff>352425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82" r:id="rId5" name="Check Box 2">
              <controlPr defaultSize="0" autoFill="0" autoLine="0" autoPict="0">
                <anchor moveWithCells="1">
                  <from>
                    <xdr:col>4</xdr:col>
                    <xdr:colOff>209550</xdr:colOff>
                    <xdr:row>4</xdr:row>
                    <xdr:rowOff>57150</xdr:rowOff>
                  </from>
                  <to>
                    <xdr:col>4</xdr:col>
                    <xdr:colOff>447675</xdr:colOff>
                    <xdr:row>14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87528-D925-43DD-BA36-766766C72AF2}">
  <dimension ref="A1:J49"/>
  <sheetViews>
    <sheetView topLeftCell="A7" workbookViewId="0">
      <selection activeCell="H20" sqref="H20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1" style="41" customWidth="1"/>
    <col min="7" max="7" width="13.42578125" style="41" customWidth="1"/>
    <col min="8" max="8" width="24.8554687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B2" s="275"/>
      <c r="C2" s="275"/>
      <c r="D2" s="275"/>
      <c r="E2" s="275"/>
      <c r="F2" s="275"/>
      <c r="G2" s="275"/>
      <c r="H2" s="188"/>
    </row>
    <row r="3" spans="1:9" x14ac:dyDescent="0.2">
      <c r="A3" s="187"/>
      <c r="B3" s="275"/>
      <c r="C3" s="275"/>
      <c r="D3" s="275"/>
      <c r="E3" s="275"/>
      <c r="F3" s="275"/>
      <c r="G3" s="275"/>
      <c r="H3" s="188"/>
    </row>
    <row r="4" spans="1:9" x14ac:dyDescent="0.2">
      <c r="A4" s="187"/>
      <c r="B4" s="275"/>
      <c r="C4" s="275"/>
      <c r="D4" s="286"/>
      <c r="E4" s="286"/>
      <c r="F4" s="286"/>
      <c r="G4" s="286"/>
      <c r="H4" s="189"/>
      <c r="I4" s="128"/>
    </row>
    <row r="5" spans="1:9" ht="15.75" customHeight="1" x14ac:dyDescent="0.2">
      <c r="A5" s="449" t="s">
        <v>0</v>
      </c>
      <c r="B5" s="522"/>
      <c r="C5" s="522"/>
      <c r="D5" s="522"/>
      <c r="E5" s="522"/>
      <c r="F5" s="522"/>
      <c r="G5" s="522"/>
      <c r="H5" s="450"/>
      <c r="I5" s="70"/>
    </row>
    <row r="6" spans="1:9" ht="15.75" customHeight="1" x14ac:dyDescent="0.2">
      <c r="A6" s="451" t="s">
        <v>1</v>
      </c>
      <c r="B6" s="523"/>
      <c r="C6" s="523"/>
      <c r="D6" s="523"/>
      <c r="E6" s="523"/>
      <c r="F6" s="523"/>
      <c r="G6" s="523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439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46072</v>
      </c>
      <c r="I10" s="215"/>
    </row>
    <row r="11" spans="1:9" ht="15.75" x14ac:dyDescent="0.25">
      <c r="A11" s="470" t="s">
        <v>187</v>
      </c>
      <c r="B11" s="471"/>
      <c r="C11" s="474" t="s">
        <v>5</v>
      </c>
      <c r="D11" s="474"/>
      <c r="E11" s="474"/>
      <c r="F11" s="464"/>
      <c r="G11" s="447" t="s">
        <v>188</v>
      </c>
      <c r="H11" s="234" t="s">
        <v>216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217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187"/>
      <c r="B15" s="220"/>
      <c r="C15" s="220"/>
      <c r="D15" s="220"/>
      <c r="E15" s="220"/>
      <c r="F15" s="221"/>
      <c r="G15" s="187"/>
      <c r="H15" s="188"/>
    </row>
    <row r="16" spans="1:9" x14ac:dyDescent="0.2">
      <c r="A16" s="222" t="s">
        <v>449</v>
      </c>
      <c r="B16" s="220"/>
      <c r="C16" s="220"/>
      <c r="D16" s="220"/>
      <c r="E16" s="220"/>
      <c r="F16" s="221"/>
      <c r="G16" s="187"/>
      <c r="H16" s="188"/>
    </row>
    <row r="17" spans="1:10" ht="15.75" x14ac:dyDescent="0.2">
      <c r="A17" s="218" t="s">
        <v>399</v>
      </c>
      <c r="B17" s="287"/>
      <c r="C17" s="287"/>
      <c r="D17" s="287"/>
      <c r="E17" s="287"/>
      <c r="F17" s="219"/>
      <c r="G17" s="224"/>
      <c r="H17" s="225">
        <v>7658.34</v>
      </c>
    </row>
    <row r="18" spans="1:10" x14ac:dyDescent="0.2">
      <c r="A18" s="218" t="s">
        <v>450</v>
      </c>
      <c r="B18" s="287"/>
      <c r="C18" s="287"/>
      <c r="D18" s="287"/>
      <c r="E18" s="287"/>
      <c r="F18" s="219"/>
      <c r="G18" s="187"/>
      <c r="H18" s="188"/>
    </row>
    <row r="19" spans="1:10" x14ac:dyDescent="0.2">
      <c r="A19" s="218" t="s">
        <v>448</v>
      </c>
      <c r="B19" s="275"/>
      <c r="C19" s="275"/>
      <c r="D19" s="275"/>
      <c r="E19" s="275"/>
      <c r="F19" s="188"/>
      <c r="G19" s="187"/>
      <c r="H19" s="188"/>
    </row>
    <row r="20" spans="1:10" x14ac:dyDescent="0.2">
      <c r="A20" s="218" t="s">
        <v>467</v>
      </c>
      <c r="B20" s="275"/>
      <c r="C20" s="275"/>
      <c r="D20" s="275"/>
      <c r="E20" s="275"/>
      <c r="F20" s="188"/>
      <c r="G20" s="187"/>
      <c r="H20" s="188"/>
    </row>
    <row r="21" spans="1:10" x14ac:dyDescent="0.2">
      <c r="A21" s="272"/>
      <c r="B21" s="275"/>
      <c r="C21" s="275"/>
      <c r="D21" s="275"/>
      <c r="E21" s="275"/>
      <c r="F21" s="188"/>
      <c r="G21" s="187"/>
      <c r="H21" s="188"/>
    </row>
    <row r="22" spans="1:10" x14ac:dyDescent="0.2">
      <c r="A22" s="272"/>
      <c r="B22" s="275"/>
      <c r="C22" s="275"/>
      <c r="D22" s="275"/>
      <c r="E22" s="275"/>
      <c r="F22" s="188"/>
      <c r="G22" s="187"/>
      <c r="H22" s="188"/>
    </row>
    <row r="23" spans="1:10" x14ac:dyDescent="0.2">
      <c r="A23" s="192"/>
      <c r="B23" s="193"/>
      <c r="C23" s="193"/>
      <c r="D23" s="193"/>
      <c r="E23" s="193"/>
      <c r="F23" s="194"/>
      <c r="G23" s="192"/>
      <c r="H23" s="194"/>
    </row>
    <row r="24" spans="1:10" x14ac:dyDescent="0.2">
      <c r="A24" s="192"/>
      <c r="B24" s="193"/>
      <c r="C24" s="193"/>
      <c r="D24" s="193"/>
      <c r="E24" s="193"/>
      <c r="F24" s="193"/>
      <c r="G24" s="193"/>
      <c r="H24" s="194"/>
    </row>
    <row r="25" spans="1:10" ht="15.75" x14ac:dyDescent="0.25">
      <c r="A25" s="477" t="s">
        <v>191</v>
      </c>
      <c r="B25" s="481"/>
      <c r="C25" s="481"/>
      <c r="D25" s="481"/>
      <c r="E25" s="480"/>
      <c r="F25" s="482" t="s">
        <v>192</v>
      </c>
      <c r="G25" s="483"/>
      <c r="H25" s="195" t="s">
        <v>193</v>
      </c>
    </row>
    <row r="26" spans="1:10" x14ac:dyDescent="0.2">
      <c r="A26" s="226" t="s">
        <v>403</v>
      </c>
      <c r="B26" s="197"/>
      <c r="C26" s="197"/>
      <c r="D26" s="197"/>
      <c r="E26" s="197"/>
      <c r="F26" s="484">
        <v>2446</v>
      </c>
      <c r="G26" s="484"/>
      <c r="H26" s="326"/>
      <c r="J26" s="41" t="s">
        <v>196</v>
      </c>
    </row>
    <row r="27" spans="1:10" x14ac:dyDescent="0.2">
      <c r="A27" s="226" t="s">
        <v>404</v>
      </c>
      <c r="B27" s="275"/>
      <c r="C27" s="197"/>
      <c r="D27" s="197"/>
      <c r="E27" s="197"/>
      <c r="F27" s="484">
        <v>4190.34</v>
      </c>
      <c r="G27" s="484"/>
      <c r="H27" s="230"/>
    </row>
    <row r="28" spans="1:10" x14ac:dyDescent="0.2">
      <c r="A28" s="226" t="s">
        <v>405</v>
      </c>
      <c r="B28" s="197"/>
      <c r="C28" s="197"/>
      <c r="D28" s="197"/>
      <c r="E28" s="197"/>
      <c r="F28" s="484">
        <v>1022</v>
      </c>
      <c r="G28" s="484"/>
      <c r="H28" s="227"/>
    </row>
    <row r="29" spans="1:10" x14ac:dyDescent="0.2">
      <c r="A29" s="226"/>
      <c r="B29" s="287" t="s">
        <v>11</v>
      </c>
      <c r="C29" s="197"/>
      <c r="D29" s="197"/>
      <c r="E29" s="197"/>
      <c r="F29" s="484"/>
      <c r="G29" s="484"/>
      <c r="H29" s="294">
        <f>SUM(F26:G28)</f>
        <v>7658.34</v>
      </c>
    </row>
    <row r="30" spans="1:10" x14ac:dyDescent="0.2">
      <c r="A30" s="196"/>
      <c r="B30" s="231"/>
      <c r="C30" s="197"/>
      <c r="D30" s="197"/>
      <c r="E30" s="199"/>
      <c r="F30" s="486"/>
      <c r="G30" s="486"/>
      <c r="H30" s="294"/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13</v>
      </c>
      <c r="F32" s="201"/>
      <c r="G32" s="202"/>
      <c r="H32" s="203" t="s">
        <v>14</v>
      </c>
    </row>
    <row r="33" spans="1:8" x14ac:dyDescent="0.2">
      <c r="A33" s="187"/>
      <c r="B33" s="275"/>
      <c r="C33" s="275"/>
      <c r="D33" s="188"/>
      <c r="E33" s="187"/>
      <c r="F33" s="275"/>
      <c r="G33" s="188"/>
      <c r="H33" s="204"/>
    </row>
    <row r="34" spans="1:8" x14ac:dyDescent="0.2">
      <c r="A34" s="187"/>
      <c r="B34" s="275"/>
      <c r="C34" s="275"/>
      <c r="D34" s="188"/>
      <c r="E34" s="187"/>
      <c r="F34" s="275"/>
      <c r="G34" s="188"/>
      <c r="H34" s="204"/>
    </row>
    <row r="35" spans="1:8" x14ac:dyDescent="0.2">
      <c r="A35" s="232" t="s">
        <v>15</v>
      </c>
      <c r="B35" s="323"/>
      <c r="C35" s="323"/>
      <c r="D35" s="206"/>
      <c r="E35" s="487" t="s">
        <v>5</v>
      </c>
      <c r="F35" s="52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B38" s="275"/>
      <c r="C38" s="275"/>
      <c r="D38" s="275"/>
      <c r="E38" s="275"/>
      <c r="F38" s="275"/>
      <c r="G38" s="275"/>
      <c r="H38" s="188"/>
    </row>
    <row r="39" spans="1:8" x14ac:dyDescent="0.2">
      <c r="A39" s="187"/>
      <c r="B39" s="275"/>
      <c r="C39" s="275"/>
      <c r="D39" s="275"/>
      <c r="E39" s="275"/>
      <c r="F39" s="275"/>
      <c r="G39" s="275"/>
      <c r="H39" s="188"/>
    </row>
    <row r="40" spans="1:8" ht="15.75" customHeight="1" x14ac:dyDescent="0.2">
      <c r="A40" s="490" t="s">
        <v>21</v>
      </c>
      <c r="B40" s="529"/>
      <c r="C40" s="529"/>
      <c r="D40" s="529"/>
      <c r="E40" s="529"/>
      <c r="F40" s="529" t="s">
        <v>22</v>
      </c>
      <c r="G40" s="529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406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237" t="s">
        <v>468</v>
      </c>
      <c r="B43" s="275"/>
      <c r="C43" s="275"/>
      <c r="D43" s="275"/>
      <c r="E43" s="275"/>
      <c r="F43" s="275"/>
      <c r="G43" s="324" t="s">
        <v>195</v>
      </c>
      <c r="H43" s="238"/>
    </row>
    <row r="44" spans="1:8" x14ac:dyDescent="0.2">
      <c r="A44" s="210"/>
      <c r="B44" s="275"/>
      <c r="C44" s="275"/>
      <c r="D44" s="275"/>
      <c r="E44" s="275"/>
      <c r="F44" s="275"/>
      <c r="G44" s="324" t="s">
        <v>186</v>
      </c>
      <c r="H44" s="188"/>
    </row>
    <row r="45" spans="1:8" x14ac:dyDescent="0.2">
      <c r="A45" s="187"/>
      <c r="B45" s="275"/>
      <c r="C45" s="275"/>
      <c r="D45" s="275"/>
      <c r="E45" s="275"/>
      <c r="F45" s="275"/>
      <c r="G45" s="275"/>
      <c r="H45" s="188"/>
    </row>
    <row r="46" spans="1:8" x14ac:dyDescent="0.2">
      <c r="A46" s="187"/>
      <c r="B46" s="275"/>
      <c r="C46" s="275"/>
      <c r="D46" s="275"/>
      <c r="E46" s="275"/>
      <c r="F46" s="275"/>
      <c r="G46" s="275"/>
      <c r="H46" s="188"/>
    </row>
    <row r="47" spans="1:8" ht="15.75" thickBot="1" x14ac:dyDescent="0.25">
      <c r="A47" s="187"/>
      <c r="B47" s="275"/>
      <c r="C47" s="275"/>
      <c r="D47" s="275"/>
      <c r="E47" s="275"/>
      <c r="F47" s="275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2"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  <mergeCell ref="A36:D36"/>
    <mergeCell ref="E36:G36"/>
    <mergeCell ref="A13:F13"/>
    <mergeCell ref="G13:H13"/>
    <mergeCell ref="A25:E25"/>
    <mergeCell ref="F25:G25"/>
    <mergeCell ref="F26:G26"/>
    <mergeCell ref="F27:G27"/>
    <mergeCell ref="F28:G28"/>
    <mergeCell ref="F29:G29"/>
    <mergeCell ref="F30:G30"/>
    <mergeCell ref="F31:G31"/>
    <mergeCell ref="E35:G35"/>
    <mergeCell ref="G48:H48"/>
    <mergeCell ref="A37:E37"/>
    <mergeCell ref="F37:H37"/>
    <mergeCell ref="A40:E40"/>
    <mergeCell ref="F40:H40"/>
    <mergeCell ref="A41:E41"/>
    <mergeCell ref="F41:H41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0529" r:id="rId4" name="Check Box 1">
              <controlPr defaultSize="0" autoFill="0" autoLine="0" autoPict="0">
                <anchor moveWithCells="1">
                  <from>
                    <xdr:col>2</xdr:col>
                    <xdr:colOff>133350</xdr:colOff>
                    <xdr:row>4</xdr:row>
                    <xdr:rowOff>76200</xdr:rowOff>
                  </from>
                  <to>
                    <xdr:col>2</xdr:col>
                    <xdr:colOff>371475</xdr:colOff>
                    <xdr:row>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0530" r:id="rId5" name="Check Box 2">
              <controlPr defaultSize="0" autoFill="0" autoLine="0" autoPict="0">
                <anchor moveWithCells="1">
                  <from>
                    <xdr:col>4</xdr:col>
                    <xdr:colOff>209550</xdr:colOff>
                    <xdr:row>4</xdr:row>
                    <xdr:rowOff>66675</xdr:rowOff>
                  </from>
                  <to>
                    <xdr:col>4</xdr:col>
                    <xdr:colOff>447675</xdr:colOff>
                    <xdr:row>14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DEFA-FB52-47B8-8E6F-347B40C582ED}">
  <sheetPr>
    <pageSetUpPr fitToPage="1"/>
  </sheetPr>
  <dimension ref="A1:N70"/>
  <sheetViews>
    <sheetView workbookViewId="0">
      <selection sqref="A1:XFD1048576"/>
    </sheetView>
  </sheetViews>
  <sheetFormatPr defaultRowHeight="15" x14ac:dyDescent="0.25"/>
  <cols>
    <col min="1" max="1" width="12.5703125" style="269" customWidth="1"/>
    <col min="2" max="2" width="37" style="21" customWidth="1"/>
    <col min="3" max="3" width="16.85546875" style="328" customWidth="1"/>
    <col min="4" max="4" width="14.85546875" style="270" bestFit="1" customWidth="1"/>
    <col min="5" max="5" width="13.7109375" style="270" bestFit="1" customWidth="1"/>
    <col min="6" max="6" width="10.85546875" style="270" bestFit="1" customWidth="1"/>
  </cols>
  <sheetData>
    <row r="1" spans="1:14" x14ac:dyDescent="0.25">
      <c r="A1" s="239"/>
      <c r="B1" s="241"/>
      <c r="C1" s="242"/>
      <c r="D1" s="307"/>
      <c r="E1" s="307"/>
      <c r="F1" s="243"/>
    </row>
    <row r="2" spans="1:14" x14ac:dyDescent="0.25">
      <c r="A2" s="244"/>
      <c r="B2" s="316"/>
      <c r="C2" s="329"/>
      <c r="D2" s="301"/>
      <c r="E2" s="301"/>
      <c r="F2" s="247"/>
    </row>
    <row r="3" spans="1:14" x14ac:dyDescent="0.25">
      <c r="A3" s="244"/>
      <c r="B3" s="316"/>
      <c r="C3" s="329"/>
      <c r="D3" s="301"/>
      <c r="E3" s="301"/>
      <c r="F3" s="247"/>
    </row>
    <row r="4" spans="1:14" x14ac:dyDescent="0.25">
      <c r="A4" s="244"/>
      <c r="B4" s="316"/>
      <c r="C4" s="329"/>
      <c r="D4" s="301"/>
      <c r="E4" s="301"/>
      <c r="F4" s="247"/>
    </row>
    <row r="5" spans="1:14" x14ac:dyDescent="0.25">
      <c r="A5" s="505" t="s">
        <v>0</v>
      </c>
      <c r="B5" s="530"/>
      <c r="C5" s="530"/>
      <c r="D5" s="530"/>
      <c r="E5" s="530"/>
      <c r="F5" s="507"/>
    </row>
    <row r="6" spans="1:14" x14ac:dyDescent="0.25">
      <c r="A6" s="508" t="s">
        <v>52</v>
      </c>
      <c r="B6" s="531"/>
      <c r="C6" s="531"/>
      <c r="D6" s="531"/>
      <c r="E6" s="531"/>
      <c r="F6" s="510"/>
    </row>
    <row r="7" spans="1:14" x14ac:dyDescent="0.25">
      <c r="A7" s="511" t="s">
        <v>2</v>
      </c>
      <c r="B7" s="512"/>
      <c r="C7" s="512"/>
      <c r="D7" s="512"/>
      <c r="E7" s="512"/>
      <c r="F7" s="513"/>
    </row>
    <row r="8" spans="1:14" ht="23.25" x14ac:dyDescent="0.25">
      <c r="A8" s="532" t="s">
        <v>379</v>
      </c>
      <c r="B8" s="533"/>
      <c r="C8" s="533"/>
      <c r="D8" s="533"/>
      <c r="E8" s="533"/>
      <c r="F8" s="534"/>
    </row>
    <row r="9" spans="1:14" ht="27.75" customHeight="1" x14ac:dyDescent="0.25">
      <c r="A9" s="535" t="s">
        <v>473</v>
      </c>
      <c r="B9" s="536"/>
      <c r="C9" s="536"/>
      <c r="D9" s="536"/>
      <c r="E9" s="536"/>
      <c r="F9" s="537"/>
      <c r="G9" s="310"/>
      <c r="H9" s="310"/>
      <c r="I9" s="310"/>
      <c r="J9" s="310"/>
      <c r="K9" s="310"/>
      <c r="L9" s="310"/>
      <c r="M9" s="310"/>
      <c r="N9" s="310"/>
    </row>
    <row r="10" spans="1:14" s="252" customFormat="1" ht="30.75" customHeight="1" x14ac:dyDescent="0.25">
      <c r="A10" s="311" t="s">
        <v>224</v>
      </c>
      <c r="B10" s="312" t="s">
        <v>189</v>
      </c>
      <c r="C10" s="313" t="s">
        <v>30</v>
      </c>
      <c r="D10" s="314" t="s">
        <v>155</v>
      </c>
      <c r="E10" s="315" t="s">
        <v>37</v>
      </c>
      <c r="F10" s="300" t="s">
        <v>393</v>
      </c>
    </row>
    <row r="11" spans="1:14" x14ac:dyDescent="0.25">
      <c r="A11" s="239">
        <v>46071</v>
      </c>
      <c r="B11" s="241" t="s">
        <v>451</v>
      </c>
      <c r="C11" s="273" t="s">
        <v>452</v>
      </c>
      <c r="D11" s="308">
        <v>670</v>
      </c>
      <c r="E11" s="303"/>
      <c r="F11" s="274"/>
    </row>
    <row r="12" spans="1:14" x14ac:dyDescent="0.25">
      <c r="A12" s="244"/>
      <c r="B12" s="21" t="s">
        <v>165</v>
      </c>
      <c r="C12" s="253" t="s">
        <v>453</v>
      </c>
      <c r="D12" s="301"/>
      <c r="E12" s="301"/>
      <c r="F12" s="247">
        <v>206</v>
      </c>
    </row>
    <row r="13" spans="1:14" x14ac:dyDescent="0.25">
      <c r="A13" s="244"/>
      <c r="B13" s="21" t="s">
        <v>157</v>
      </c>
      <c r="C13" s="253" t="s">
        <v>454</v>
      </c>
      <c r="D13" s="301"/>
      <c r="E13" s="301">
        <v>1799.97</v>
      </c>
      <c r="F13" s="247"/>
    </row>
    <row r="14" spans="1:14" x14ac:dyDescent="0.25">
      <c r="A14" s="244"/>
      <c r="B14" s="21" t="s">
        <v>455</v>
      </c>
      <c r="C14" s="253" t="s">
        <v>456</v>
      </c>
      <c r="D14" s="301"/>
      <c r="E14" s="301"/>
      <c r="F14" s="247">
        <v>100</v>
      </c>
    </row>
    <row r="15" spans="1:14" x14ac:dyDescent="0.25">
      <c r="A15" s="244"/>
      <c r="B15" s="21" t="s">
        <v>457</v>
      </c>
      <c r="C15" s="253" t="s">
        <v>458</v>
      </c>
      <c r="D15" s="301"/>
      <c r="E15" s="301"/>
      <c r="F15" s="247">
        <v>200</v>
      </c>
    </row>
    <row r="16" spans="1:14" x14ac:dyDescent="0.25">
      <c r="A16" s="244"/>
      <c r="B16" s="21" t="s">
        <v>168</v>
      </c>
      <c r="C16" s="253" t="s">
        <v>459</v>
      </c>
      <c r="D16" s="301"/>
      <c r="E16" s="301"/>
      <c r="F16" s="247">
        <v>465</v>
      </c>
    </row>
    <row r="17" spans="1:6" x14ac:dyDescent="0.25">
      <c r="A17" s="244"/>
      <c r="B17" s="21" t="s">
        <v>463</v>
      </c>
      <c r="C17" s="253" t="s">
        <v>464</v>
      </c>
      <c r="D17" s="301">
        <v>106</v>
      </c>
      <c r="E17" s="301"/>
      <c r="F17" s="247"/>
    </row>
    <row r="18" spans="1:6" x14ac:dyDescent="0.25">
      <c r="A18" s="244">
        <v>46072</v>
      </c>
      <c r="B18" s="316" t="s">
        <v>387</v>
      </c>
      <c r="C18" s="253" t="s">
        <v>460</v>
      </c>
      <c r="D18" s="301">
        <v>585</v>
      </c>
      <c r="E18" s="301"/>
      <c r="F18" s="247"/>
    </row>
    <row r="19" spans="1:6" x14ac:dyDescent="0.25">
      <c r="A19" s="244"/>
      <c r="B19" s="316" t="s">
        <v>388</v>
      </c>
      <c r="C19" s="253" t="s">
        <v>461</v>
      </c>
      <c r="D19" s="301">
        <v>85</v>
      </c>
      <c r="E19" s="301"/>
      <c r="F19" s="247"/>
    </row>
    <row r="20" spans="1:6" x14ac:dyDescent="0.25">
      <c r="A20" s="244"/>
      <c r="B20" s="21" t="s">
        <v>380</v>
      </c>
      <c r="C20" s="253" t="s">
        <v>462</v>
      </c>
      <c r="D20" s="301">
        <v>1000</v>
      </c>
      <c r="E20" s="301"/>
      <c r="F20" s="247"/>
    </row>
    <row r="21" spans="1:6" x14ac:dyDescent="0.25">
      <c r="A21" s="244"/>
      <c r="B21" s="21" t="s">
        <v>391</v>
      </c>
      <c r="C21" s="328" t="s">
        <v>465</v>
      </c>
      <c r="D21" s="301"/>
      <c r="E21" s="301"/>
      <c r="F21" s="247">
        <v>51</v>
      </c>
    </row>
    <row r="22" spans="1:6" x14ac:dyDescent="0.25">
      <c r="A22" s="244"/>
      <c r="B22" s="21" t="s">
        <v>157</v>
      </c>
      <c r="C22" s="253" t="s">
        <v>466</v>
      </c>
      <c r="D22" s="303"/>
      <c r="E22" s="303">
        <v>2390.37</v>
      </c>
      <c r="F22" s="254"/>
    </row>
    <row r="23" spans="1:6" x14ac:dyDescent="0.25">
      <c r="A23" s="244"/>
      <c r="C23" s="255"/>
      <c r="D23" s="304"/>
      <c r="E23" s="304"/>
      <c r="F23" s="256"/>
    </row>
    <row r="24" spans="1:6" x14ac:dyDescent="0.25">
      <c r="A24" s="244"/>
      <c r="C24" s="255"/>
      <c r="D24" s="304"/>
      <c r="E24" s="304"/>
      <c r="F24" s="256"/>
    </row>
    <row r="25" spans="1:6" x14ac:dyDescent="0.25">
      <c r="A25" s="244"/>
      <c r="C25" s="255"/>
      <c r="D25" s="304"/>
      <c r="E25" s="304"/>
      <c r="F25" s="256"/>
    </row>
    <row r="26" spans="1:6" x14ac:dyDescent="0.25">
      <c r="A26" s="244"/>
      <c r="C26" s="255"/>
      <c r="D26" s="304"/>
      <c r="E26" s="304"/>
      <c r="F26" s="256"/>
    </row>
    <row r="27" spans="1:6" x14ac:dyDescent="0.25">
      <c r="A27" s="244"/>
      <c r="C27" s="255"/>
      <c r="D27" s="304"/>
      <c r="E27" s="304"/>
      <c r="F27" s="256"/>
    </row>
    <row r="28" spans="1:6" x14ac:dyDescent="0.25">
      <c r="A28" s="244"/>
      <c r="C28" s="255"/>
      <c r="D28" s="304"/>
      <c r="E28" s="304"/>
      <c r="F28" s="256"/>
    </row>
    <row r="29" spans="1:6" x14ac:dyDescent="0.25">
      <c r="A29" s="244"/>
      <c r="C29" s="255"/>
      <c r="D29" s="304"/>
      <c r="E29" s="304"/>
      <c r="F29" s="256"/>
    </row>
    <row r="30" spans="1:6" x14ac:dyDescent="0.25">
      <c r="A30" s="244"/>
      <c r="C30" s="255"/>
      <c r="D30" s="304"/>
      <c r="E30" s="304"/>
      <c r="F30" s="256"/>
    </row>
    <row r="31" spans="1:6" x14ac:dyDescent="0.25">
      <c r="A31" s="244"/>
      <c r="C31" s="255"/>
      <c r="D31" s="304"/>
      <c r="E31" s="304"/>
      <c r="F31" s="256"/>
    </row>
    <row r="32" spans="1:6" x14ac:dyDescent="0.25">
      <c r="A32" s="244"/>
      <c r="C32" s="255"/>
      <c r="D32" s="304"/>
      <c r="E32" s="304"/>
      <c r="F32" s="256"/>
    </row>
    <row r="33" spans="1:6" x14ac:dyDescent="0.25">
      <c r="A33" s="244"/>
      <c r="C33" s="255"/>
      <c r="D33" s="304"/>
      <c r="E33" s="304"/>
      <c r="F33" s="256"/>
    </row>
    <row r="34" spans="1:6" x14ac:dyDescent="0.25">
      <c r="A34" s="244"/>
      <c r="D34" s="301"/>
      <c r="E34" s="301"/>
      <c r="F34" s="247"/>
    </row>
    <row r="35" spans="1:6" x14ac:dyDescent="0.25">
      <c r="A35" s="244"/>
      <c r="C35" s="255"/>
      <c r="D35" s="305"/>
      <c r="E35" s="305"/>
      <c r="F35" s="257"/>
    </row>
    <row r="36" spans="1:6" x14ac:dyDescent="0.25">
      <c r="A36" s="244"/>
      <c r="C36" s="255"/>
      <c r="D36" s="305"/>
      <c r="E36" s="305"/>
      <c r="F36" s="257"/>
    </row>
    <row r="37" spans="1:6" x14ac:dyDescent="0.25">
      <c r="A37" s="244"/>
      <c r="C37" s="255"/>
      <c r="D37" s="305"/>
      <c r="E37" s="305"/>
      <c r="F37" s="257"/>
    </row>
    <row r="38" spans="1:6" x14ac:dyDescent="0.25">
      <c r="A38" s="244"/>
      <c r="C38" s="255"/>
      <c r="D38" s="305"/>
      <c r="E38" s="305"/>
      <c r="F38" s="257"/>
    </row>
    <row r="39" spans="1:6" x14ac:dyDescent="0.25">
      <c r="A39" s="244"/>
      <c r="C39" s="255"/>
      <c r="D39" s="305"/>
      <c r="E39" s="305"/>
      <c r="F39" s="257"/>
    </row>
    <row r="40" spans="1:6" x14ac:dyDescent="0.25">
      <c r="A40" s="244"/>
      <c r="C40" s="255"/>
      <c r="D40" s="305"/>
      <c r="E40" s="305"/>
      <c r="F40" s="257"/>
    </row>
    <row r="41" spans="1:6" x14ac:dyDescent="0.25">
      <c r="A41" s="244"/>
      <c r="C41" s="255"/>
      <c r="D41" s="305"/>
      <c r="E41" s="305"/>
      <c r="F41" s="257"/>
    </row>
    <row r="42" spans="1:6" x14ac:dyDescent="0.25">
      <c r="A42" s="244"/>
      <c r="C42" s="255"/>
      <c r="D42" s="305"/>
      <c r="E42" s="305"/>
      <c r="F42" s="257"/>
    </row>
    <row r="43" spans="1:6" x14ac:dyDescent="0.25">
      <c r="A43" s="244"/>
      <c r="C43" s="255"/>
      <c r="D43" s="321"/>
      <c r="E43" s="321"/>
      <c r="F43" s="322"/>
    </row>
    <row r="44" spans="1:6" x14ac:dyDescent="0.25">
      <c r="A44" s="244"/>
      <c r="C44" s="255"/>
      <c r="D44" s="319">
        <f>SUM(D11:D23)</f>
        <v>2446</v>
      </c>
      <c r="E44" s="319">
        <f>SUM(E11:E23)</f>
        <v>4190.34</v>
      </c>
      <c r="F44" s="320">
        <f t="shared" ref="F44" si="0">SUM(F11:F23)</f>
        <v>1022</v>
      </c>
    </row>
    <row r="45" spans="1:6" ht="15.75" x14ac:dyDescent="0.25">
      <c r="A45" s="244"/>
      <c r="C45" s="47" t="s">
        <v>32</v>
      </c>
      <c r="D45" s="306">
        <f>SUM(D44:F44)</f>
        <v>7658.34</v>
      </c>
      <c r="E45" s="306"/>
      <c r="F45" s="258"/>
    </row>
    <row r="46" spans="1:6" ht="15.75" x14ac:dyDescent="0.25">
      <c r="A46" s="244"/>
      <c r="C46" s="47"/>
      <c r="D46" s="306"/>
      <c r="E46" s="306"/>
      <c r="F46" s="258"/>
    </row>
    <row r="47" spans="1:6" x14ac:dyDescent="0.25">
      <c r="A47" s="244"/>
      <c r="D47" s="301"/>
      <c r="E47" s="301"/>
      <c r="F47" s="247"/>
    </row>
    <row r="48" spans="1:6" x14ac:dyDescent="0.25">
      <c r="A48" s="259"/>
      <c r="B48" s="261"/>
      <c r="C48" s="262"/>
      <c r="D48" s="309"/>
      <c r="E48" s="309"/>
      <c r="F48" s="263"/>
    </row>
    <row r="49" spans="1:6" ht="15.75" x14ac:dyDescent="0.25">
      <c r="A49" s="264" t="s">
        <v>12</v>
      </c>
      <c r="B49" s="201"/>
      <c r="C49" s="266"/>
      <c r="D49" s="266" t="s">
        <v>260</v>
      </c>
      <c r="E49" s="301"/>
      <c r="F49" s="247"/>
    </row>
    <row r="50" spans="1:6" ht="15.75" x14ac:dyDescent="0.25">
      <c r="A50" s="267"/>
      <c r="B50" s="41"/>
      <c r="C50" s="41"/>
      <c r="D50" s="301"/>
      <c r="E50" s="301"/>
      <c r="F50" s="247"/>
    </row>
    <row r="51" spans="1:6" ht="15.75" x14ac:dyDescent="0.25">
      <c r="A51" s="267"/>
      <c r="B51" s="41"/>
      <c r="C51" s="41"/>
      <c r="D51" s="301"/>
      <c r="E51" s="301"/>
      <c r="F51" s="247"/>
    </row>
    <row r="52" spans="1:6" x14ac:dyDescent="0.25">
      <c r="A52" s="520" t="s">
        <v>15</v>
      </c>
      <c r="B52" s="521"/>
      <c r="C52" s="317"/>
      <c r="D52" s="488" t="s">
        <v>5</v>
      </c>
      <c r="E52" s="488"/>
      <c r="F52" s="489"/>
    </row>
    <row r="53" spans="1:6" x14ac:dyDescent="0.25">
      <c r="A53" s="503" t="s">
        <v>17</v>
      </c>
      <c r="B53" s="504"/>
      <c r="C53" s="318"/>
      <c r="D53" s="455" t="s">
        <v>18</v>
      </c>
      <c r="E53" s="455"/>
      <c r="F53" s="456"/>
    </row>
    <row r="54" spans="1:6" x14ac:dyDescent="0.25">
      <c r="A54" s="497" t="s">
        <v>261</v>
      </c>
      <c r="B54" s="495"/>
      <c r="C54" s="495"/>
      <c r="D54" s="495"/>
      <c r="E54" s="495"/>
      <c r="F54" s="496"/>
    </row>
    <row r="55" spans="1:6" ht="15.75" x14ac:dyDescent="0.25">
      <c r="A55" s="267"/>
      <c r="B55" s="41"/>
      <c r="C55" s="41"/>
      <c r="D55" s="275"/>
      <c r="E55" s="275"/>
      <c r="F55" s="188"/>
    </row>
    <row r="56" spans="1:6" ht="15.75" x14ac:dyDescent="0.25">
      <c r="A56" s="267"/>
      <c r="B56" s="41"/>
      <c r="C56" s="41"/>
      <c r="D56" s="275"/>
      <c r="E56" s="275"/>
      <c r="F56" s="188"/>
    </row>
    <row r="57" spans="1:6" x14ac:dyDescent="0.25">
      <c r="A57" s="490" t="s">
        <v>22</v>
      </c>
      <c r="B57" s="529"/>
      <c r="C57" s="529"/>
      <c r="D57" s="529"/>
      <c r="E57" s="529"/>
      <c r="F57" s="492"/>
    </row>
    <row r="58" spans="1:6" x14ac:dyDescent="0.25">
      <c r="A58" s="454" t="s">
        <v>24</v>
      </c>
      <c r="B58" s="455"/>
      <c r="C58" s="455"/>
      <c r="D58" s="455"/>
      <c r="E58" s="455"/>
      <c r="F58" s="456"/>
    </row>
    <row r="63" spans="1:6" x14ac:dyDescent="0.25">
      <c r="B63" s="501"/>
      <c r="C63" s="501"/>
    </row>
    <row r="64" spans="1:6" x14ac:dyDescent="0.25">
      <c r="B64" s="500"/>
      <c r="C64" s="500"/>
    </row>
    <row r="65" spans="2:3" x14ac:dyDescent="0.25">
      <c r="B65" s="327"/>
      <c r="C65" s="253"/>
    </row>
    <row r="69" spans="2:3" x14ac:dyDescent="0.25">
      <c r="B69" s="501"/>
      <c r="C69" s="501"/>
    </row>
    <row r="70" spans="2:3" x14ac:dyDescent="0.25">
      <c r="B70" s="502"/>
      <c r="C70" s="502"/>
    </row>
  </sheetData>
  <mergeCells count="16">
    <mergeCell ref="A52:B52"/>
    <mergeCell ref="D52:F52"/>
    <mergeCell ref="A5:F5"/>
    <mergeCell ref="A6:F6"/>
    <mergeCell ref="A7:F7"/>
    <mergeCell ref="A8:F8"/>
    <mergeCell ref="A9:F9"/>
    <mergeCell ref="B64:C64"/>
    <mergeCell ref="B69:C69"/>
    <mergeCell ref="B70:C70"/>
    <mergeCell ref="A53:B53"/>
    <mergeCell ref="D53:F53"/>
    <mergeCell ref="A54:F54"/>
    <mergeCell ref="A57:F57"/>
    <mergeCell ref="A58:F58"/>
    <mergeCell ref="B63:C63"/>
  </mergeCells>
  <pageMargins left="0.7" right="0.7" top="0.75" bottom="0.75" header="0.3" footer="0.3"/>
  <pageSetup paperSize="9" scale="82" fitToHeight="0" orientation="portrait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CCDB9-0DB4-434C-A842-5788B3CC634D}">
  <dimension ref="A1:J49"/>
  <sheetViews>
    <sheetView workbookViewId="0">
      <selection sqref="A1:XFD1048576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1" style="41" customWidth="1"/>
    <col min="7" max="7" width="13.42578125" style="41" customWidth="1"/>
    <col min="8" max="8" width="24.8554687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447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46072</v>
      </c>
      <c r="I10" s="215"/>
    </row>
    <row r="11" spans="1:9" ht="15.75" x14ac:dyDescent="0.25">
      <c r="A11" s="470" t="s">
        <v>187</v>
      </c>
      <c r="B11" s="471"/>
      <c r="C11" s="474" t="s">
        <v>5</v>
      </c>
      <c r="D11" s="474"/>
      <c r="E11" s="474"/>
      <c r="F11" s="464"/>
      <c r="G11" s="447" t="s">
        <v>188</v>
      </c>
      <c r="H11" s="234" t="s">
        <v>216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217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 t="s">
        <v>440</v>
      </c>
      <c r="B15" s="220"/>
      <c r="C15" s="220"/>
      <c r="D15" s="220"/>
      <c r="E15" s="220"/>
      <c r="F15" s="221"/>
      <c r="G15" s="187"/>
      <c r="H15" s="188"/>
    </row>
    <row r="16" spans="1:9" x14ac:dyDescent="0.2">
      <c r="A16" s="218" t="s">
        <v>441</v>
      </c>
      <c r="B16" s="220"/>
      <c r="C16" s="220"/>
      <c r="D16" s="220"/>
      <c r="E16" s="220"/>
      <c r="F16" s="221"/>
      <c r="G16" s="187"/>
      <c r="H16" s="188"/>
    </row>
    <row r="17" spans="1:10" ht="15.75" x14ac:dyDescent="0.2">
      <c r="A17" s="218"/>
      <c r="B17" s="70"/>
      <c r="C17" s="70"/>
      <c r="D17" s="70"/>
      <c r="E17" s="70"/>
      <c r="F17" s="219"/>
      <c r="G17" s="224"/>
      <c r="H17" s="225">
        <v>5085</v>
      </c>
    </row>
    <row r="18" spans="1:10" x14ac:dyDescent="0.2">
      <c r="A18" s="218" t="s">
        <v>442</v>
      </c>
      <c r="B18" s="70"/>
      <c r="C18" s="70"/>
      <c r="D18" s="70"/>
      <c r="E18" s="70"/>
      <c r="F18" s="331">
        <v>38000</v>
      </c>
      <c r="G18" s="187"/>
      <c r="H18" s="188"/>
    </row>
    <row r="19" spans="1:10" x14ac:dyDescent="0.2">
      <c r="A19" s="218" t="s">
        <v>443</v>
      </c>
      <c r="F19" s="332">
        <v>43085</v>
      </c>
      <c r="G19" s="187"/>
      <c r="H19" s="188"/>
    </row>
    <row r="20" spans="1:10" ht="15.75" thickBot="1" x14ac:dyDescent="0.25">
      <c r="A20" s="218" t="s">
        <v>444</v>
      </c>
      <c r="F20" s="333">
        <v>5085</v>
      </c>
      <c r="G20" s="187"/>
      <c r="H20" s="188"/>
    </row>
    <row r="21" spans="1:10" ht="15.75" thickTop="1" x14ac:dyDescent="0.2">
      <c r="A21" s="272"/>
      <c r="F21" s="188"/>
      <c r="G21" s="187"/>
      <c r="H21" s="188"/>
    </row>
    <row r="22" spans="1:10" x14ac:dyDescent="0.2">
      <c r="A22" s="272"/>
      <c r="F22" s="188"/>
      <c r="G22" s="187"/>
      <c r="H22" s="188"/>
    </row>
    <row r="23" spans="1:10" x14ac:dyDescent="0.2">
      <c r="A23" s="192"/>
      <c r="B23" s="193"/>
      <c r="C23" s="193"/>
      <c r="D23" s="193"/>
      <c r="E23" s="193"/>
      <c r="F23" s="194"/>
      <c r="G23" s="192"/>
      <c r="H23" s="194"/>
    </row>
    <row r="24" spans="1:10" x14ac:dyDescent="0.2">
      <c r="A24" s="192"/>
      <c r="B24" s="193"/>
      <c r="C24" s="193"/>
      <c r="D24" s="193"/>
      <c r="E24" s="193"/>
      <c r="F24" s="193"/>
      <c r="G24" s="193"/>
      <c r="H24" s="194"/>
    </row>
    <row r="25" spans="1:10" ht="15.75" x14ac:dyDescent="0.25">
      <c r="A25" s="477" t="s">
        <v>191</v>
      </c>
      <c r="B25" s="481"/>
      <c r="C25" s="481"/>
      <c r="D25" s="481"/>
      <c r="E25" s="480"/>
      <c r="F25" s="482" t="s">
        <v>192</v>
      </c>
      <c r="G25" s="483"/>
      <c r="H25" s="195" t="s">
        <v>193</v>
      </c>
    </row>
    <row r="26" spans="1:10" x14ac:dyDescent="0.2">
      <c r="A26" s="226" t="s">
        <v>226</v>
      </c>
      <c r="B26" s="197"/>
      <c r="C26" s="197"/>
      <c r="D26" s="197"/>
      <c r="E26" s="197"/>
      <c r="F26" s="484">
        <v>5085</v>
      </c>
      <c r="G26" s="484"/>
      <c r="H26" s="325"/>
      <c r="J26" s="41" t="s">
        <v>196</v>
      </c>
    </row>
    <row r="27" spans="1:10" x14ac:dyDescent="0.2">
      <c r="A27" s="226"/>
      <c r="B27" s="70" t="s">
        <v>11</v>
      </c>
      <c r="C27" s="197"/>
      <c r="D27" s="197"/>
      <c r="E27" s="197"/>
      <c r="F27" s="484"/>
      <c r="G27" s="484"/>
      <c r="H27" s="230">
        <f>SUM(F26)</f>
        <v>5085</v>
      </c>
    </row>
    <row r="28" spans="1:10" x14ac:dyDescent="0.2">
      <c r="A28" s="226"/>
      <c r="B28" s="197"/>
      <c r="C28" s="197"/>
      <c r="D28" s="197"/>
      <c r="E28" s="197"/>
      <c r="F28" s="484"/>
      <c r="G28" s="484"/>
      <c r="H28" s="227"/>
    </row>
    <row r="29" spans="1:10" x14ac:dyDescent="0.2">
      <c r="A29" s="226"/>
      <c r="C29" s="197"/>
      <c r="D29" s="197"/>
      <c r="E29" s="197"/>
      <c r="F29" s="484"/>
      <c r="G29" s="484"/>
      <c r="H29" s="227"/>
    </row>
    <row r="30" spans="1:10" x14ac:dyDescent="0.2">
      <c r="A30" s="196"/>
      <c r="B30" s="231"/>
      <c r="C30" s="197"/>
      <c r="D30" s="197"/>
      <c r="E30" s="199"/>
      <c r="F30" s="486"/>
      <c r="G30" s="486"/>
      <c r="H30" s="294"/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13</v>
      </c>
      <c r="F32" s="201"/>
      <c r="G32" s="202"/>
      <c r="H32" s="203" t="s">
        <v>14</v>
      </c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187"/>
      <c r="D34" s="188"/>
      <c r="E34" s="187"/>
      <c r="G34" s="188"/>
      <c r="H34" s="204"/>
    </row>
    <row r="35" spans="1:8" x14ac:dyDescent="0.2">
      <c r="A35" s="232" t="s">
        <v>15</v>
      </c>
      <c r="B35" s="205"/>
      <c r="C35" s="205"/>
      <c r="D35" s="206"/>
      <c r="E35" s="487" t="s">
        <v>5</v>
      </c>
      <c r="F35" s="48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H38" s="188"/>
    </row>
    <row r="39" spans="1:8" x14ac:dyDescent="0.2">
      <c r="A39" s="187"/>
      <c r="H39" s="188"/>
    </row>
    <row r="40" spans="1:8" ht="15.75" customHeight="1" x14ac:dyDescent="0.2">
      <c r="A40" s="490" t="s">
        <v>21</v>
      </c>
      <c r="B40" s="491"/>
      <c r="C40" s="491"/>
      <c r="D40" s="491"/>
      <c r="E40" s="491"/>
      <c r="F40" s="491" t="s">
        <v>22</v>
      </c>
      <c r="G40" s="491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445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237" t="s">
        <v>446</v>
      </c>
      <c r="G43" s="209" t="s">
        <v>195</v>
      </c>
      <c r="H43" s="238"/>
    </row>
    <row r="44" spans="1:8" x14ac:dyDescent="0.2">
      <c r="A44" s="210"/>
      <c r="G44" s="209" t="s">
        <v>186</v>
      </c>
      <c r="H44" s="188"/>
    </row>
    <row r="45" spans="1:8" x14ac:dyDescent="0.2">
      <c r="A45" s="187"/>
      <c r="H45" s="188"/>
    </row>
    <row r="46" spans="1:8" x14ac:dyDescent="0.2">
      <c r="A46" s="187"/>
      <c r="H46" s="188"/>
    </row>
    <row r="47" spans="1:8" ht="15.75" thickBot="1" x14ac:dyDescent="0.25">
      <c r="A47" s="187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2">
    <mergeCell ref="G48:H48"/>
    <mergeCell ref="A37:E37"/>
    <mergeCell ref="F37:H37"/>
    <mergeCell ref="A40:E40"/>
    <mergeCell ref="F40:H40"/>
    <mergeCell ref="A41:E41"/>
    <mergeCell ref="F41:H41"/>
    <mergeCell ref="A36:D36"/>
    <mergeCell ref="E36:G36"/>
    <mergeCell ref="A13:F13"/>
    <mergeCell ref="G13:H13"/>
    <mergeCell ref="A25:E25"/>
    <mergeCell ref="F25:G25"/>
    <mergeCell ref="F26:G26"/>
    <mergeCell ref="F27:G27"/>
    <mergeCell ref="F28:G28"/>
    <mergeCell ref="F29:G29"/>
    <mergeCell ref="F30:G30"/>
    <mergeCell ref="F31:G31"/>
    <mergeCell ref="E35:G35"/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</mergeCells>
  <phoneticPr fontId="38" type="noConversion"/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9505" r:id="rId4" name="Check Box 1">
              <controlPr defaultSize="0" autoFill="0" autoLine="0" autoPict="0">
                <anchor moveWithCells="1">
                  <from>
                    <xdr:col>2</xdr:col>
                    <xdr:colOff>114300</xdr:colOff>
                    <xdr:row>3</xdr:row>
                    <xdr:rowOff>123825</xdr:rowOff>
                  </from>
                  <to>
                    <xdr:col>2</xdr:col>
                    <xdr:colOff>352425</xdr:colOff>
                    <xdr:row>15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9506" r:id="rId5" name="Check Box 2">
              <controlPr defaultSize="0" autoFill="0" autoLine="0" autoPict="0">
                <anchor moveWithCells="1">
                  <from>
                    <xdr:col>4</xdr:col>
                    <xdr:colOff>200025</xdr:colOff>
                    <xdr:row>3</xdr:row>
                    <xdr:rowOff>133350</xdr:rowOff>
                  </from>
                  <to>
                    <xdr:col>4</xdr:col>
                    <xdr:colOff>438150</xdr:colOff>
                    <xdr:row>15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0F5E8-4C58-4B17-B20E-A24E415D9394}">
  <dimension ref="A1:J49"/>
  <sheetViews>
    <sheetView topLeftCell="A4" workbookViewId="0">
      <selection activeCell="A4" sqref="A1:XFD1048576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1" style="41" customWidth="1"/>
    <col min="7" max="7" width="13.42578125" style="41" customWidth="1"/>
    <col min="8" max="8" width="24.8554687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475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46072</v>
      </c>
      <c r="I10" s="215"/>
    </row>
    <row r="11" spans="1:9" ht="15.75" x14ac:dyDescent="0.25">
      <c r="A11" s="470" t="s">
        <v>187</v>
      </c>
      <c r="B11" s="471"/>
      <c r="C11" s="474" t="s">
        <v>5</v>
      </c>
      <c r="D11" s="474"/>
      <c r="E11" s="474"/>
      <c r="F11" s="464"/>
      <c r="G11" s="447" t="s">
        <v>188</v>
      </c>
      <c r="H11" s="234" t="s">
        <v>216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217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F15" s="221"/>
      <c r="G15" s="187"/>
      <c r="H15" s="188"/>
    </row>
    <row r="16" spans="1:9" x14ac:dyDescent="0.2">
      <c r="A16" s="222" t="s">
        <v>476</v>
      </c>
      <c r="B16" s="220"/>
      <c r="C16" s="220"/>
      <c r="D16" s="220"/>
      <c r="E16" s="220"/>
      <c r="F16" s="221"/>
      <c r="G16" s="187"/>
      <c r="H16" s="188"/>
    </row>
    <row r="17" spans="1:10" ht="15.75" x14ac:dyDescent="0.2">
      <c r="A17" s="218" t="s">
        <v>477</v>
      </c>
      <c r="B17" s="220"/>
      <c r="C17" s="220"/>
      <c r="D17" s="220"/>
      <c r="E17" s="220"/>
      <c r="F17" s="219"/>
      <c r="G17" s="224"/>
      <c r="H17" s="225">
        <v>15000</v>
      </c>
    </row>
    <row r="18" spans="1:10" x14ac:dyDescent="0.2">
      <c r="A18" s="218" t="s">
        <v>478</v>
      </c>
      <c r="B18" s="70"/>
      <c r="C18" s="70"/>
      <c r="D18" s="70"/>
      <c r="E18" s="70"/>
      <c r="F18" s="331"/>
      <c r="G18" s="187"/>
      <c r="H18" s="188"/>
    </row>
    <row r="19" spans="1:10" x14ac:dyDescent="0.2">
      <c r="A19" s="218"/>
      <c r="F19" s="339"/>
      <c r="G19" s="187"/>
      <c r="H19" s="188"/>
    </row>
    <row r="20" spans="1:10" x14ac:dyDescent="0.2">
      <c r="A20" s="218"/>
      <c r="F20" s="340"/>
      <c r="G20" s="187"/>
      <c r="H20" s="188"/>
    </row>
    <row r="21" spans="1:10" x14ac:dyDescent="0.2">
      <c r="A21" s="272"/>
      <c r="F21" s="188"/>
      <c r="G21" s="187"/>
      <c r="H21" s="188"/>
    </row>
    <row r="22" spans="1:10" x14ac:dyDescent="0.2">
      <c r="A22" s="272"/>
      <c r="F22" s="188"/>
      <c r="G22" s="187"/>
      <c r="H22" s="188"/>
    </row>
    <row r="23" spans="1:10" x14ac:dyDescent="0.2">
      <c r="A23" s="192"/>
      <c r="B23" s="193"/>
      <c r="C23" s="193"/>
      <c r="D23" s="193"/>
      <c r="E23" s="193"/>
      <c r="F23" s="194"/>
      <c r="G23" s="192"/>
      <c r="H23" s="194"/>
    </row>
    <row r="24" spans="1:10" x14ac:dyDescent="0.2">
      <c r="A24" s="192"/>
      <c r="B24" s="193"/>
      <c r="C24" s="193"/>
      <c r="D24" s="193"/>
      <c r="E24" s="193"/>
      <c r="F24" s="193"/>
      <c r="G24" s="193"/>
      <c r="H24" s="194"/>
    </row>
    <row r="25" spans="1:10" ht="15.75" x14ac:dyDescent="0.25">
      <c r="A25" s="477" t="s">
        <v>191</v>
      </c>
      <c r="B25" s="481"/>
      <c r="C25" s="481"/>
      <c r="D25" s="481"/>
      <c r="E25" s="480"/>
      <c r="F25" s="482" t="s">
        <v>192</v>
      </c>
      <c r="G25" s="483"/>
      <c r="H25" s="195" t="s">
        <v>193</v>
      </c>
    </row>
    <row r="26" spans="1:10" x14ac:dyDescent="0.2">
      <c r="A26" s="226" t="s">
        <v>314</v>
      </c>
      <c r="B26" s="197"/>
      <c r="C26" s="197"/>
      <c r="D26" s="197"/>
      <c r="E26" s="197"/>
      <c r="F26" s="484">
        <v>15000</v>
      </c>
      <c r="G26" s="484"/>
      <c r="H26" s="334"/>
      <c r="J26" s="41" t="s">
        <v>196</v>
      </c>
    </row>
    <row r="27" spans="1:10" x14ac:dyDescent="0.2">
      <c r="A27" s="226"/>
      <c r="B27" s="70" t="s">
        <v>11</v>
      </c>
      <c r="C27" s="197"/>
      <c r="D27" s="197"/>
      <c r="E27" s="197"/>
      <c r="F27" s="484"/>
      <c r="G27" s="484"/>
      <c r="H27" s="230">
        <f>SUM(F26)</f>
        <v>15000</v>
      </c>
    </row>
    <row r="28" spans="1:10" x14ac:dyDescent="0.2">
      <c r="A28" s="226"/>
      <c r="B28" s="197"/>
      <c r="C28" s="197"/>
      <c r="D28" s="197"/>
      <c r="E28" s="197"/>
      <c r="F28" s="484"/>
      <c r="G28" s="484"/>
      <c r="H28" s="227"/>
    </row>
    <row r="29" spans="1:10" x14ac:dyDescent="0.2">
      <c r="A29" s="226"/>
      <c r="C29" s="197"/>
      <c r="D29" s="197"/>
      <c r="E29" s="197"/>
      <c r="F29" s="484"/>
      <c r="G29" s="484"/>
      <c r="H29" s="227"/>
    </row>
    <row r="30" spans="1:10" x14ac:dyDescent="0.2">
      <c r="A30" s="196"/>
      <c r="B30" s="231"/>
      <c r="C30" s="197"/>
      <c r="D30" s="197"/>
      <c r="E30" s="199"/>
      <c r="F30" s="486"/>
      <c r="G30" s="486"/>
      <c r="H30" s="294"/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315</v>
      </c>
      <c r="F32" s="201"/>
      <c r="G32" s="202"/>
      <c r="H32" s="203" t="s">
        <v>14</v>
      </c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187"/>
      <c r="D34" s="188"/>
      <c r="E34" s="187"/>
      <c r="G34" s="188"/>
      <c r="H34" s="204"/>
    </row>
    <row r="35" spans="1:8" x14ac:dyDescent="0.2">
      <c r="A35" s="232" t="s">
        <v>15</v>
      </c>
      <c r="B35" s="205"/>
      <c r="C35" s="205"/>
      <c r="D35" s="206"/>
      <c r="E35" s="487" t="s">
        <v>5</v>
      </c>
      <c r="F35" s="48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H38" s="188"/>
    </row>
    <row r="39" spans="1:8" x14ac:dyDescent="0.2">
      <c r="A39" s="187"/>
      <c r="H39" s="188"/>
    </row>
    <row r="40" spans="1:8" ht="15.75" customHeight="1" x14ac:dyDescent="0.2">
      <c r="A40" s="490" t="s">
        <v>21</v>
      </c>
      <c r="B40" s="491"/>
      <c r="C40" s="491"/>
      <c r="D40" s="491"/>
      <c r="E40" s="491"/>
      <c r="F40" s="491" t="s">
        <v>22</v>
      </c>
      <c r="G40" s="491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479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237" t="s">
        <v>480</v>
      </c>
      <c r="G43" s="209" t="s">
        <v>195</v>
      </c>
      <c r="H43" s="238"/>
    </row>
    <row r="44" spans="1:8" x14ac:dyDescent="0.2">
      <c r="A44" s="210"/>
      <c r="G44" s="209" t="s">
        <v>186</v>
      </c>
      <c r="H44" s="188"/>
    </row>
    <row r="45" spans="1:8" x14ac:dyDescent="0.2">
      <c r="A45" s="187"/>
      <c r="H45" s="188"/>
    </row>
    <row r="46" spans="1:8" x14ac:dyDescent="0.2">
      <c r="A46" s="187"/>
      <c r="H46" s="188"/>
    </row>
    <row r="47" spans="1:8" ht="15.75" thickBot="1" x14ac:dyDescent="0.25">
      <c r="A47" s="187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2">
    <mergeCell ref="G48:H48"/>
    <mergeCell ref="A37:E37"/>
    <mergeCell ref="F37:H37"/>
    <mergeCell ref="A40:E40"/>
    <mergeCell ref="F40:H40"/>
    <mergeCell ref="A41:E41"/>
    <mergeCell ref="F41:H41"/>
    <mergeCell ref="A36:D36"/>
    <mergeCell ref="E36:G36"/>
    <mergeCell ref="A13:F13"/>
    <mergeCell ref="G13:H13"/>
    <mergeCell ref="A25:E25"/>
    <mergeCell ref="F25:G25"/>
    <mergeCell ref="F26:G26"/>
    <mergeCell ref="F27:G27"/>
    <mergeCell ref="F28:G28"/>
    <mergeCell ref="F29:G29"/>
    <mergeCell ref="F30:G30"/>
    <mergeCell ref="F31:G31"/>
    <mergeCell ref="E35:G35"/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8961" r:id="rId4" name="Check Box 1">
              <controlPr defaultSize="0" autoFill="0" autoLine="0" autoPict="0">
                <anchor moveWithCells="1">
                  <from>
                    <xdr:col>2</xdr:col>
                    <xdr:colOff>123825</xdr:colOff>
                    <xdr:row>2</xdr:row>
                    <xdr:rowOff>180975</xdr:rowOff>
                  </from>
                  <to>
                    <xdr:col>2</xdr:col>
                    <xdr:colOff>361950</xdr:colOff>
                    <xdr:row>15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8962" r:id="rId5" name="Check Box 2">
              <controlPr defaultSize="0" autoFill="0" autoLine="0" autoPict="0">
                <anchor moveWithCells="1">
                  <from>
                    <xdr:col>4</xdr:col>
                    <xdr:colOff>209550</xdr:colOff>
                    <xdr:row>3</xdr:row>
                    <xdr:rowOff>0</xdr:rowOff>
                  </from>
                  <to>
                    <xdr:col>4</xdr:col>
                    <xdr:colOff>447675</xdr:colOff>
                    <xdr:row>15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3010-0FD6-45C1-8780-A0B468339261}">
  <dimension ref="A1:J49"/>
  <sheetViews>
    <sheetView workbookViewId="0">
      <selection activeCell="N27" sqref="N27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1.28515625" style="41" customWidth="1"/>
    <col min="7" max="7" width="13.42578125" style="41" customWidth="1"/>
    <col min="8" max="8" width="24.8554687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B2" s="275"/>
      <c r="C2" s="275"/>
      <c r="D2" s="275"/>
      <c r="E2" s="275"/>
      <c r="F2" s="275"/>
      <c r="G2" s="275"/>
      <c r="H2" s="188"/>
    </row>
    <row r="3" spans="1:9" x14ac:dyDescent="0.2">
      <c r="A3" s="187"/>
      <c r="B3" s="275"/>
      <c r="C3" s="275"/>
      <c r="D3" s="275"/>
      <c r="E3" s="275"/>
      <c r="F3" s="275"/>
      <c r="G3" s="275"/>
      <c r="H3" s="188"/>
    </row>
    <row r="4" spans="1:9" x14ac:dyDescent="0.2">
      <c r="A4" s="187"/>
      <c r="B4" s="275"/>
      <c r="C4" s="275"/>
      <c r="D4" s="286"/>
      <c r="E4" s="286"/>
      <c r="F4" s="286"/>
      <c r="G4" s="286"/>
      <c r="H4" s="189"/>
      <c r="I4" s="128"/>
    </row>
    <row r="5" spans="1:9" ht="15.75" customHeight="1" x14ac:dyDescent="0.2">
      <c r="A5" s="449" t="s">
        <v>0</v>
      </c>
      <c r="B5" s="522"/>
      <c r="C5" s="522"/>
      <c r="D5" s="522"/>
      <c r="E5" s="522"/>
      <c r="F5" s="522"/>
      <c r="G5" s="522"/>
      <c r="H5" s="450"/>
      <c r="I5" s="70"/>
    </row>
    <row r="6" spans="1:9" ht="15.75" customHeight="1" x14ac:dyDescent="0.2">
      <c r="A6" s="451" t="s">
        <v>1</v>
      </c>
      <c r="B6" s="523"/>
      <c r="C6" s="523"/>
      <c r="D6" s="523"/>
      <c r="E6" s="523"/>
      <c r="F6" s="523"/>
      <c r="G6" s="523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481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46073</v>
      </c>
      <c r="I10" s="215"/>
    </row>
    <row r="11" spans="1:9" ht="15.75" x14ac:dyDescent="0.25">
      <c r="A11" s="470" t="s">
        <v>187</v>
      </c>
      <c r="B11" s="471"/>
      <c r="C11" s="474" t="s">
        <v>5</v>
      </c>
      <c r="D11" s="474"/>
      <c r="E11" s="474"/>
      <c r="F11" s="464"/>
      <c r="G11" s="447" t="s">
        <v>188</v>
      </c>
      <c r="H11" s="234" t="s">
        <v>216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217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187"/>
      <c r="B15" s="275"/>
      <c r="C15" s="275"/>
      <c r="D15" s="275"/>
      <c r="E15" s="275"/>
      <c r="F15" s="221"/>
      <c r="G15" s="187"/>
      <c r="H15" s="188"/>
    </row>
    <row r="16" spans="1:9" x14ac:dyDescent="0.2">
      <c r="A16" s="222" t="s">
        <v>486</v>
      </c>
      <c r="B16" s="220"/>
      <c r="C16" s="220"/>
      <c r="D16" s="220"/>
      <c r="E16" s="220"/>
      <c r="F16" s="221"/>
      <c r="G16" s="187"/>
      <c r="H16" s="188"/>
    </row>
    <row r="17" spans="1:10" ht="15.75" x14ac:dyDescent="0.25">
      <c r="A17" s="288" t="s">
        <v>487</v>
      </c>
      <c r="B17" s="220"/>
      <c r="C17" s="220"/>
      <c r="D17" s="220"/>
      <c r="E17" s="220"/>
      <c r="F17" s="219"/>
      <c r="G17" s="224"/>
      <c r="H17" s="225">
        <v>11000</v>
      </c>
    </row>
    <row r="18" spans="1:10" x14ac:dyDescent="0.2">
      <c r="A18" s="218" t="s">
        <v>488</v>
      </c>
      <c r="B18" s="287"/>
      <c r="C18" s="287"/>
      <c r="D18" s="287"/>
      <c r="E18" s="287"/>
      <c r="F18" s="331"/>
      <c r="G18" s="187"/>
      <c r="H18" s="188"/>
    </row>
    <row r="19" spans="1:10" x14ac:dyDescent="0.2">
      <c r="A19" s="218"/>
      <c r="B19" s="287"/>
      <c r="C19" s="287"/>
      <c r="D19" s="287"/>
      <c r="E19" s="287"/>
      <c r="F19" s="346"/>
      <c r="G19" s="187"/>
      <c r="H19" s="188"/>
    </row>
    <row r="20" spans="1:10" x14ac:dyDescent="0.2">
      <c r="A20" s="342" t="s">
        <v>482</v>
      </c>
      <c r="B20" s="344"/>
      <c r="C20" s="275"/>
      <c r="D20" s="275"/>
      <c r="E20" s="275"/>
      <c r="F20" s="347">
        <v>9200</v>
      </c>
      <c r="G20" s="187"/>
      <c r="H20" s="188"/>
    </row>
    <row r="21" spans="1:10" x14ac:dyDescent="0.2">
      <c r="A21" s="342" t="s">
        <v>483</v>
      </c>
      <c r="B21" s="344"/>
      <c r="C21" s="275"/>
      <c r="D21" s="275"/>
      <c r="E21" s="275"/>
      <c r="F21" s="348">
        <v>800</v>
      </c>
      <c r="G21" s="187"/>
      <c r="H21" s="188"/>
    </row>
    <row r="22" spans="1:10" x14ac:dyDescent="0.2">
      <c r="A22" s="342" t="s">
        <v>484</v>
      </c>
      <c r="B22" s="344"/>
      <c r="C22" s="275"/>
      <c r="D22" s="275"/>
      <c r="E22" s="275"/>
      <c r="F22" s="343">
        <v>1000</v>
      </c>
      <c r="G22" s="187"/>
      <c r="H22" s="188"/>
    </row>
    <row r="23" spans="1:10" x14ac:dyDescent="0.2">
      <c r="A23" s="342" t="s">
        <v>485</v>
      </c>
      <c r="B23" s="345"/>
      <c r="C23" s="275"/>
      <c r="D23" s="275"/>
      <c r="E23" s="275"/>
      <c r="F23" s="349">
        <v>11000</v>
      </c>
      <c r="G23" s="187"/>
      <c r="H23" s="188"/>
    </row>
    <row r="24" spans="1:10" x14ac:dyDescent="0.2">
      <c r="A24" s="192"/>
      <c r="B24" s="193"/>
      <c r="C24" s="193"/>
      <c r="D24" s="193"/>
      <c r="E24" s="193"/>
      <c r="F24" s="194"/>
      <c r="G24" s="192"/>
      <c r="H24" s="194"/>
    </row>
    <row r="25" spans="1:10" x14ac:dyDescent="0.2">
      <c r="A25" s="192"/>
      <c r="B25" s="193"/>
      <c r="C25" s="193"/>
      <c r="D25" s="193"/>
      <c r="E25" s="193"/>
      <c r="F25" s="193"/>
      <c r="G25" s="193"/>
      <c r="H25" s="194"/>
    </row>
    <row r="26" spans="1:10" ht="15.75" x14ac:dyDescent="0.25">
      <c r="A26" s="477" t="s">
        <v>191</v>
      </c>
      <c r="B26" s="481"/>
      <c r="C26" s="481"/>
      <c r="D26" s="481"/>
      <c r="E26" s="480"/>
      <c r="F26" s="482" t="s">
        <v>192</v>
      </c>
      <c r="G26" s="483"/>
      <c r="H26" s="195" t="s">
        <v>193</v>
      </c>
    </row>
    <row r="27" spans="1:10" x14ac:dyDescent="0.2">
      <c r="A27" s="226" t="s">
        <v>489</v>
      </c>
      <c r="B27" s="197"/>
      <c r="C27" s="197"/>
      <c r="D27" s="197"/>
      <c r="E27" s="197"/>
      <c r="F27" s="484">
        <v>11000</v>
      </c>
      <c r="G27" s="484"/>
      <c r="H27" s="336"/>
      <c r="J27" s="41" t="s">
        <v>196</v>
      </c>
    </row>
    <row r="28" spans="1:10" x14ac:dyDescent="0.2">
      <c r="A28" s="226"/>
      <c r="B28" s="287" t="s">
        <v>11</v>
      </c>
      <c r="C28" s="197"/>
      <c r="D28" s="197"/>
      <c r="E28" s="197"/>
      <c r="F28" s="484"/>
      <c r="G28" s="484"/>
      <c r="H28" s="230">
        <f>SUM(F27)</f>
        <v>11000</v>
      </c>
    </row>
    <row r="29" spans="1:10" x14ac:dyDescent="0.2">
      <c r="A29" s="226"/>
      <c r="B29" s="197"/>
      <c r="C29" s="197"/>
      <c r="D29" s="197"/>
      <c r="E29" s="197"/>
      <c r="F29" s="484"/>
      <c r="G29" s="484"/>
      <c r="H29" s="227"/>
    </row>
    <row r="30" spans="1:10" x14ac:dyDescent="0.2">
      <c r="A30" s="196"/>
      <c r="B30" s="231"/>
      <c r="C30" s="197"/>
      <c r="D30" s="197"/>
      <c r="E30" s="199"/>
      <c r="F30" s="486"/>
      <c r="G30" s="486"/>
      <c r="H30" s="294"/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315</v>
      </c>
      <c r="F32" s="201"/>
      <c r="G32" s="202"/>
      <c r="H32" s="203" t="s">
        <v>14</v>
      </c>
    </row>
    <row r="33" spans="1:8" x14ac:dyDescent="0.2">
      <c r="A33" s="187"/>
      <c r="B33" s="275"/>
      <c r="C33" s="275"/>
      <c r="D33" s="188"/>
      <c r="E33" s="187"/>
      <c r="F33" s="275"/>
      <c r="G33" s="188"/>
      <c r="H33" s="204"/>
    </row>
    <row r="34" spans="1:8" x14ac:dyDescent="0.2">
      <c r="A34" s="187"/>
      <c r="B34" s="275"/>
      <c r="C34" s="275"/>
      <c r="D34" s="188"/>
      <c r="E34" s="187"/>
      <c r="F34" s="275"/>
      <c r="G34" s="188"/>
      <c r="H34" s="204"/>
    </row>
    <row r="35" spans="1:8" x14ac:dyDescent="0.2">
      <c r="A35" s="232" t="s">
        <v>15</v>
      </c>
      <c r="B35" s="323"/>
      <c r="C35" s="323"/>
      <c r="D35" s="206"/>
      <c r="E35" s="487" t="s">
        <v>5</v>
      </c>
      <c r="F35" s="52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B38" s="275"/>
      <c r="C38" s="275"/>
      <c r="D38" s="275"/>
      <c r="E38" s="275"/>
      <c r="F38" s="275"/>
      <c r="G38" s="275"/>
      <c r="H38" s="188"/>
    </row>
    <row r="39" spans="1:8" x14ac:dyDescent="0.2">
      <c r="A39" s="187"/>
      <c r="B39" s="275"/>
      <c r="C39" s="275"/>
      <c r="D39" s="275"/>
      <c r="E39" s="275"/>
      <c r="F39" s="275"/>
      <c r="G39" s="275"/>
      <c r="H39" s="188"/>
    </row>
    <row r="40" spans="1:8" ht="15.75" customHeight="1" x14ac:dyDescent="0.2">
      <c r="A40" s="490" t="s">
        <v>21</v>
      </c>
      <c r="B40" s="529"/>
      <c r="C40" s="529"/>
      <c r="D40" s="529"/>
      <c r="E40" s="529"/>
      <c r="F40" s="529" t="s">
        <v>22</v>
      </c>
      <c r="G40" s="529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490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237" t="s">
        <v>491</v>
      </c>
      <c r="B43" s="275"/>
      <c r="C43" s="275"/>
      <c r="D43" s="275"/>
      <c r="E43" s="275"/>
      <c r="F43" s="275"/>
      <c r="G43" s="324" t="s">
        <v>195</v>
      </c>
      <c r="H43" s="238"/>
    </row>
    <row r="44" spans="1:8" x14ac:dyDescent="0.2">
      <c r="A44" s="210"/>
      <c r="B44" s="275"/>
      <c r="C44" s="275"/>
      <c r="D44" s="275"/>
      <c r="E44" s="275"/>
      <c r="F44" s="275"/>
      <c r="G44" s="324" t="s">
        <v>186</v>
      </c>
      <c r="H44" s="188"/>
    </row>
    <row r="45" spans="1:8" x14ac:dyDescent="0.2">
      <c r="A45" s="187"/>
      <c r="B45" s="275"/>
      <c r="C45" s="275"/>
      <c r="D45" s="275"/>
      <c r="E45" s="275"/>
      <c r="F45" s="275"/>
      <c r="G45" s="275"/>
      <c r="H45" s="188"/>
    </row>
    <row r="46" spans="1:8" x14ac:dyDescent="0.2">
      <c r="A46" s="187"/>
      <c r="B46" s="275"/>
      <c r="C46" s="275"/>
      <c r="D46" s="275"/>
      <c r="E46" s="275"/>
      <c r="F46" s="275"/>
      <c r="G46" s="275"/>
      <c r="H46" s="188"/>
    </row>
    <row r="47" spans="1:8" ht="15.75" thickBot="1" x14ac:dyDescent="0.25">
      <c r="A47" s="187"/>
      <c r="B47" s="275"/>
      <c r="C47" s="275"/>
      <c r="D47" s="275"/>
      <c r="E47" s="275"/>
      <c r="F47" s="275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1">
    <mergeCell ref="A5:H5"/>
    <mergeCell ref="A6:H6"/>
    <mergeCell ref="A7:H7"/>
    <mergeCell ref="A8:F9"/>
    <mergeCell ref="G8:G9"/>
    <mergeCell ref="H8:H9"/>
    <mergeCell ref="F28:G28"/>
    <mergeCell ref="A10:B10"/>
    <mergeCell ref="C10:D10"/>
    <mergeCell ref="E10:F10"/>
    <mergeCell ref="A11:B12"/>
    <mergeCell ref="C11:F12"/>
    <mergeCell ref="G11:G12"/>
    <mergeCell ref="A13:F13"/>
    <mergeCell ref="G13:H13"/>
    <mergeCell ref="A26:E26"/>
    <mergeCell ref="F26:G26"/>
    <mergeCell ref="F27:G27"/>
    <mergeCell ref="F29:G29"/>
    <mergeCell ref="F30:G30"/>
    <mergeCell ref="F31:G31"/>
    <mergeCell ref="E35:G35"/>
    <mergeCell ref="A36:D36"/>
    <mergeCell ref="E36:G36"/>
    <mergeCell ref="G48:H48"/>
    <mergeCell ref="A37:E37"/>
    <mergeCell ref="F37:H37"/>
    <mergeCell ref="A40:E40"/>
    <mergeCell ref="F40:H40"/>
    <mergeCell ref="A41:E41"/>
    <mergeCell ref="F41:H41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9985" r:id="rId4" name="Check Box 1">
              <controlPr defaultSize="0" autoFill="0" autoLine="0" autoPict="0">
                <anchor moveWithCells="1">
                  <from>
                    <xdr:col>2</xdr:col>
                    <xdr:colOff>123825</xdr:colOff>
                    <xdr:row>2</xdr:row>
                    <xdr:rowOff>57150</xdr:rowOff>
                  </from>
                  <to>
                    <xdr:col>2</xdr:col>
                    <xdr:colOff>361950</xdr:colOff>
                    <xdr:row>16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9986" r:id="rId5" name="Check Box 2">
              <controlPr defaultSize="0" autoFill="0" autoLine="0" autoPict="0">
                <anchor moveWithCells="1">
                  <from>
                    <xdr:col>4</xdr:col>
                    <xdr:colOff>209550</xdr:colOff>
                    <xdr:row>2</xdr:row>
                    <xdr:rowOff>66675</xdr:rowOff>
                  </from>
                  <to>
                    <xdr:col>4</xdr:col>
                    <xdr:colOff>447675</xdr:colOff>
                    <xdr:row>16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8C01-4AF1-4477-A1FD-8AC411F2BE25}">
  <dimension ref="A1:J49"/>
  <sheetViews>
    <sheetView topLeftCell="A7" workbookViewId="0">
      <selection activeCell="G17" sqref="G17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0.5703125" style="41" customWidth="1"/>
    <col min="7" max="7" width="13.42578125" style="41" customWidth="1"/>
    <col min="8" max="8" width="24.4257812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520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46073</v>
      </c>
      <c r="I10" s="215"/>
    </row>
    <row r="11" spans="1:9" ht="15.75" x14ac:dyDescent="0.25">
      <c r="A11" s="470" t="s">
        <v>187</v>
      </c>
      <c r="B11" s="471"/>
      <c r="C11" s="474" t="s">
        <v>215</v>
      </c>
      <c r="D11" s="474"/>
      <c r="E11" s="474"/>
      <c r="F11" s="464"/>
      <c r="G11" s="447" t="s">
        <v>188</v>
      </c>
      <c r="H11" s="234" t="s">
        <v>216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217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 t="s">
        <v>262</v>
      </c>
      <c r="B15" s="220"/>
      <c r="C15" s="220"/>
      <c r="D15" s="220"/>
      <c r="E15" s="220"/>
      <c r="F15" s="221"/>
      <c r="G15" s="187"/>
      <c r="H15" s="188"/>
    </row>
    <row r="16" spans="1:9" ht="15.75" x14ac:dyDescent="0.2">
      <c r="A16" s="272" t="s">
        <v>521</v>
      </c>
      <c r="B16" s="70"/>
      <c r="C16" s="70"/>
      <c r="D16" s="70"/>
      <c r="E16" s="70"/>
      <c r="F16" s="219"/>
      <c r="G16" s="224"/>
      <c r="H16" s="225">
        <v>3810.5</v>
      </c>
    </row>
    <row r="17" spans="1:10" x14ac:dyDescent="0.2">
      <c r="A17" s="272" t="s">
        <v>522</v>
      </c>
      <c r="B17" s="70"/>
      <c r="C17" s="70"/>
      <c r="D17" s="70"/>
      <c r="E17" s="70"/>
      <c r="F17" s="219"/>
      <c r="G17" s="187"/>
      <c r="H17" s="188"/>
    </row>
    <row r="18" spans="1:10" x14ac:dyDescent="0.2">
      <c r="A18" s="272" t="s">
        <v>523</v>
      </c>
      <c r="F18" s="188"/>
      <c r="G18" s="187"/>
      <c r="H18" s="188"/>
    </row>
    <row r="19" spans="1:10" x14ac:dyDescent="0.2">
      <c r="A19" s="272" t="s">
        <v>524</v>
      </c>
      <c r="F19" s="188"/>
      <c r="G19" s="187"/>
      <c r="H19" s="188"/>
    </row>
    <row r="20" spans="1:10" x14ac:dyDescent="0.2">
      <c r="A20" s="272" t="s">
        <v>526</v>
      </c>
      <c r="F20" s="188"/>
      <c r="G20" s="187"/>
      <c r="H20" s="188"/>
    </row>
    <row r="21" spans="1:10" x14ac:dyDescent="0.2">
      <c r="A21" s="272" t="s">
        <v>525</v>
      </c>
      <c r="F21" s="188"/>
      <c r="G21" s="187"/>
      <c r="H21" s="188"/>
    </row>
    <row r="22" spans="1:10" x14ac:dyDescent="0.2">
      <c r="A22" s="272"/>
      <c r="F22" s="188"/>
      <c r="G22" s="187"/>
      <c r="H22" s="188"/>
    </row>
    <row r="23" spans="1:10" x14ac:dyDescent="0.2">
      <c r="A23" s="192"/>
      <c r="B23" s="193"/>
      <c r="C23" s="193"/>
      <c r="D23" s="193"/>
      <c r="E23" s="193"/>
      <c r="F23" s="194"/>
      <c r="G23" s="192"/>
      <c r="H23" s="194"/>
    </row>
    <row r="24" spans="1:10" x14ac:dyDescent="0.2">
      <c r="A24" s="192"/>
      <c r="B24" s="193"/>
      <c r="C24" s="193"/>
      <c r="D24" s="193"/>
      <c r="E24" s="193"/>
      <c r="F24" s="193"/>
      <c r="G24" s="193"/>
      <c r="H24" s="194"/>
    </row>
    <row r="25" spans="1:10" ht="15.75" x14ac:dyDescent="0.25">
      <c r="A25" s="477" t="s">
        <v>191</v>
      </c>
      <c r="B25" s="481"/>
      <c r="C25" s="481"/>
      <c r="D25" s="481"/>
      <c r="E25" s="480"/>
      <c r="F25" s="482" t="s">
        <v>192</v>
      </c>
      <c r="G25" s="483"/>
      <c r="H25" s="195" t="s">
        <v>193</v>
      </c>
    </row>
    <row r="26" spans="1:10" x14ac:dyDescent="0.2">
      <c r="A26" s="226" t="s">
        <v>501</v>
      </c>
      <c r="B26" s="197"/>
      <c r="C26" s="197"/>
      <c r="D26" s="197"/>
      <c r="E26" s="197"/>
      <c r="F26" s="484">
        <v>270</v>
      </c>
      <c r="G26" s="484"/>
      <c r="H26" s="336"/>
      <c r="J26" s="41" t="s">
        <v>196</v>
      </c>
    </row>
    <row r="27" spans="1:10" x14ac:dyDescent="0.2">
      <c r="A27" s="226" t="s">
        <v>506</v>
      </c>
      <c r="C27" s="197"/>
      <c r="D27" s="197"/>
      <c r="E27" s="197"/>
      <c r="F27" s="484">
        <v>330</v>
      </c>
      <c r="G27" s="484"/>
      <c r="H27" s="230"/>
    </row>
    <row r="28" spans="1:10" x14ac:dyDescent="0.2">
      <c r="A28" s="226" t="s">
        <v>103</v>
      </c>
      <c r="B28" s="197"/>
      <c r="C28" s="197"/>
      <c r="D28" s="197"/>
      <c r="E28" s="197"/>
      <c r="F28" s="484">
        <v>132.5</v>
      </c>
      <c r="G28" s="484"/>
      <c r="H28" s="227"/>
    </row>
    <row r="29" spans="1:10" x14ac:dyDescent="0.2">
      <c r="A29" s="226" t="s">
        <v>226</v>
      </c>
      <c r="B29" s="197"/>
      <c r="C29" s="197"/>
      <c r="D29" s="197"/>
      <c r="E29" s="197"/>
      <c r="F29" s="484">
        <v>3078</v>
      </c>
      <c r="G29" s="484"/>
      <c r="H29" s="227"/>
    </row>
    <row r="30" spans="1:10" x14ac:dyDescent="0.2">
      <c r="A30" s="196"/>
      <c r="B30" s="231" t="s">
        <v>36</v>
      </c>
      <c r="C30" s="197"/>
      <c r="D30" s="197"/>
      <c r="E30" s="199"/>
      <c r="F30" s="486"/>
      <c r="G30" s="486"/>
      <c r="H30" s="294">
        <f>SUM(F26:G29)</f>
        <v>3810.5</v>
      </c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13</v>
      </c>
      <c r="F32" s="201"/>
      <c r="G32" s="202"/>
      <c r="H32" s="203" t="s">
        <v>14</v>
      </c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187"/>
      <c r="D34" s="188"/>
      <c r="E34" s="187"/>
      <c r="G34" s="188"/>
      <c r="H34" s="204"/>
    </row>
    <row r="35" spans="1:8" x14ac:dyDescent="0.2">
      <c r="A35" s="232" t="s">
        <v>15</v>
      </c>
      <c r="B35" s="205"/>
      <c r="C35" s="205"/>
      <c r="D35" s="206"/>
      <c r="E35" s="487" t="s">
        <v>5</v>
      </c>
      <c r="F35" s="48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H38" s="188"/>
    </row>
    <row r="39" spans="1:8" x14ac:dyDescent="0.2">
      <c r="A39" s="187"/>
      <c r="H39" s="188"/>
    </row>
    <row r="40" spans="1:8" ht="15.75" customHeight="1" x14ac:dyDescent="0.2">
      <c r="A40" s="490" t="s">
        <v>21</v>
      </c>
      <c r="B40" s="491"/>
      <c r="C40" s="491"/>
      <c r="D40" s="491"/>
      <c r="E40" s="491"/>
      <c r="F40" s="491" t="s">
        <v>22</v>
      </c>
      <c r="G40" s="491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527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236" t="s">
        <v>528</v>
      </c>
      <c r="G43" s="209" t="s">
        <v>195</v>
      </c>
      <c r="H43" s="238"/>
    </row>
    <row r="44" spans="1:8" x14ac:dyDescent="0.2">
      <c r="A44" s="210"/>
      <c r="G44" s="209" t="s">
        <v>186</v>
      </c>
      <c r="H44" s="188"/>
    </row>
    <row r="45" spans="1:8" x14ac:dyDescent="0.2">
      <c r="A45" s="187"/>
      <c r="H45" s="188"/>
    </row>
    <row r="46" spans="1:8" x14ac:dyDescent="0.2">
      <c r="A46" s="187"/>
      <c r="H46" s="188"/>
    </row>
    <row r="47" spans="1:8" ht="15.75" thickBot="1" x14ac:dyDescent="0.25">
      <c r="A47" s="187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2">
    <mergeCell ref="A10:B10"/>
    <mergeCell ref="C10:D10"/>
    <mergeCell ref="E10:F10"/>
    <mergeCell ref="A11:B12"/>
    <mergeCell ref="C11:F12"/>
    <mergeCell ref="A5:H5"/>
    <mergeCell ref="A6:H6"/>
    <mergeCell ref="A7:H7"/>
    <mergeCell ref="A8:F9"/>
    <mergeCell ref="G8:G9"/>
    <mergeCell ref="H8:H9"/>
    <mergeCell ref="E35:G35"/>
    <mergeCell ref="G11:G12"/>
    <mergeCell ref="A13:F13"/>
    <mergeCell ref="G13:H13"/>
    <mergeCell ref="A25:E25"/>
    <mergeCell ref="F25:G25"/>
    <mergeCell ref="F26:G26"/>
    <mergeCell ref="F27:G27"/>
    <mergeCell ref="F28:G28"/>
    <mergeCell ref="F29:G29"/>
    <mergeCell ref="F30:G30"/>
    <mergeCell ref="F31:G31"/>
    <mergeCell ref="A41:E41"/>
    <mergeCell ref="F41:H41"/>
    <mergeCell ref="G48:H48"/>
    <mergeCell ref="A36:D36"/>
    <mergeCell ref="E36:G36"/>
    <mergeCell ref="A37:E37"/>
    <mergeCell ref="F37:H37"/>
    <mergeCell ref="A40:E40"/>
    <mergeCell ref="F40:H40"/>
  </mergeCells>
  <phoneticPr fontId="38" type="noConversion"/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7393" r:id="rId4" name="Check Box 1">
              <controlPr defaultSize="0" autoFill="0" autoLine="0" autoPict="0">
                <anchor moveWithCells="1">
                  <from>
                    <xdr:col>2</xdr:col>
                    <xdr:colOff>104775</xdr:colOff>
                    <xdr:row>6</xdr:row>
                    <xdr:rowOff>152400</xdr:rowOff>
                  </from>
                  <to>
                    <xdr:col>2</xdr:col>
                    <xdr:colOff>342900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7394" r:id="rId5" name="Check Box 2">
              <controlPr defaultSize="0" autoFill="0" autoLine="0" autoPict="0">
                <anchor moveWithCells="1">
                  <from>
                    <xdr:col>4</xdr:col>
                    <xdr:colOff>180975</xdr:colOff>
                    <xdr:row>6</xdr:row>
                    <xdr:rowOff>161925</xdr:rowOff>
                  </from>
                  <to>
                    <xdr:col>4</xdr:col>
                    <xdr:colOff>419100</xdr:colOff>
                    <xdr:row>12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978F-17EB-4AAC-8A76-EFAF03C6726D}">
  <sheetPr>
    <pageSetUpPr fitToPage="1"/>
  </sheetPr>
  <dimension ref="A1:H69"/>
  <sheetViews>
    <sheetView workbookViewId="0">
      <selection sqref="A1:XFD1048576"/>
    </sheetView>
  </sheetViews>
  <sheetFormatPr defaultRowHeight="15" x14ac:dyDescent="0.25"/>
  <cols>
    <col min="1" max="1" width="11.42578125" style="269" customWidth="1"/>
    <col min="2" max="2" width="10" style="245" customWidth="1"/>
    <col min="3" max="3" width="26.28515625" style="21" customWidth="1"/>
    <col min="4" max="4" width="10.5703125" style="338" customWidth="1"/>
    <col min="5" max="5" width="14.28515625" style="351" customWidth="1"/>
    <col min="6" max="6" width="12" style="351" customWidth="1"/>
    <col min="7" max="7" width="14.5703125" style="351" customWidth="1"/>
    <col min="8" max="8" width="10.7109375" style="270" customWidth="1"/>
  </cols>
  <sheetData>
    <row r="1" spans="1:8" x14ac:dyDescent="0.25">
      <c r="A1" s="239"/>
      <c r="B1" s="240"/>
      <c r="C1" s="241"/>
      <c r="D1" s="242"/>
      <c r="E1" s="350"/>
      <c r="F1" s="350"/>
      <c r="G1" s="350"/>
      <c r="H1" s="243"/>
    </row>
    <row r="2" spans="1:8" x14ac:dyDescent="0.25">
      <c r="A2" s="244"/>
      <c r="H2" s="247"/>
    </row>
    <row r="3" spans="1:8" x14ac:dyDescent="0.25">
      <c r="A3" s="244"/>
      <c r="H3" s="247"/>
    </row>
    <row r="4" spans="1:8" x14ac:dyDescent="0.25">
      <c r="A4" s="244"/>
      <c r="H4" s="247"/>
    </row>
    <row r="5" spans="1:8" x14ac:dyDescent="0.25">
      <c r="A5" s="505" t="s">
        <v>0</v>
      </c>
      <c r="B5" s="506"/>
      <c r="C5" s="506"/>
      <c r="D5" s="506"/>
      <c r="E5" s="506"/>
      <c r="F5" s="506"/>
      <c r="G5" s="506"/>
      <c r="H5" s="507"/>
    </row>
    <row r="6" spans="1:8" x14ac:dyDescent="0.25">
      <c r="A6" s="508" t="s">
        <v>52</v>
      </c>
      <c r="B6" s="509"/>
      <c r="C6" s="509"/>
      <c r="D6" s="509"/>
      <c r="E6" s="509"/>
      <c r="F6" s="509"/>
      <c r="G6" s="509"/>
      <c r="H6" s="510"/>
    </row>
    <row r="7" spans="1:8" x14ac:dyDescent="0.25">
      <c r="A7" s="511" t="s">
        <v>2</v>
      </c>
      <c r="B7" s="512"/>
      <c r="C7" s="512"/>
      <c r="D7" s="512"/>
      <c r="E7" s="512"/>
      <c r="F7" s="512"/>
      <c r="G7" s="512"/>
      <c r="H7" s="513"/>
    </row>
    <row r="8" spans="1:8" x14ac:dyDescent="0.25">
      <c r="A8" s="514" t="s">
        <v>223</v>
      </c>
      <c r="B8" s="515"/>
      <c r="C8" s="515"/>
      <c r="D8" s="515"/>
      <c r="E8" s="515"/>
      <c r="F8" s="515"/>
      <c r="G8" s="515"/>
      <c r="H8" s="516"/>
    </row>
    <row r="9" spans="1:8" x14ac:dyDescent="0.25">
      <c r="A9" s="517"/>
      <c r="B9" s="518"/>
      <c r="C9" s="518"/>
      <c r="D9" s="518"/>
      <c r="E9" s="518"/>
      <c r="F9" s="518"/>
      <c r="G9" s="518"/>
      <c r="H9" s="519"/>
    </row>
    <row r="10" spans="1:8" s="252" customFormat="1" ht="30.75" customHeight="1" x14ac:dyDescent="0.25">
      <c r="A10" s="361" t="s">
        <v>224</v>
      </c>
      <c r="B10" s="362" t="s">
        <v>225</v>
      </c>
      <c r="C10" s="363" t="s">
        <v>189</v>
      </c>
      <c r="D10" s="362" t="s">
        <v>30</v>
      </c>
      <c r="E10" s="364" t="s">
        <v>501</v>
      </c>
      <c r="F10" s="300" t="s">
        <v>506</v>
      </c>
      <c r="G10" s="300" t="s">
        <v>103</v>
      </c>
      <c r="H10" s="300" t="s">
        <v>226</v>
      </c>
    </row>
    <row r="11" spans="1:8" x14ac:dyDescent="0.25">
      <c r="A11" s="239">
        <v>46064</v>
      </c>
      <c r="B11" s="240" t="s">
        <v>492</v>
      </c>
      <c r="C11" s="241" t="s">
        <v>513</v>
      </c>
      <c r="D11" s="273"/>
      <c r="E11" s="367">
        <v>70</v>
      </c>
      <c r="F11" s="368"/>
      <c r="G11" s="368"/>
      <c r="H11" s="274"/>
    </row>
    <row r="12" spans="1:8" x14ac:dyDescent="0.25">
      <c r="A12" s="244">
        <v>46065</v>
      </c>
      <c r="B12" s="292" t="s">
        <v>493</v>
      </c>
      <c r="C12" s="21" t="s">
        <v>508</v>
      </c>
      <c r="D12" s="358" t="s">
        <v>509</v>
      </c>
      <c r="F12" s="369"/>
      <c r="G12" s="369"/>
      <c r="H12" s="254">
        <v>270</v>
      </c>
    </row>
    <row r="13" spans="1:8" x14ac:dyDescent="0.25">
      <c r="A13" s="244">
        <v>46069</v>
      </c>
      <c r="B13" s="292" t="s">
        <v>494</v>
      </c>
      <c r="C13" s="21" t="s">
        <v>502</v>
      </c>
      <c r="D13" s="359" t="s">
        <v>503</v>
      </c>
      <c r="E13" s="352"/>
      <c r="F13" s="370"/>
      <c r="G13" s="370"/>
      <c r="H13" s="247">
        <v>820</v>
      </c>
    </row>
    <row r="14" spans="1:8" ht="29.25" customHeight="1" x14ac:dyDescent="0.25">
      <c r="A14" s="244"/>
      <c r="B14" s="292" t="s">
        <v>495</v>
      </c>
      <c r="C14" s="357" t="s">
        <v>504</v>
      </c>
      <c r="D14" s="359" t="s">
        <v>505</v>
      </c>
      <c r="E14" s="352"/>
      <c r="F14" s="370"/>
      <c r="G14" s="370"/>
      <c r="H14" s="247">
        <v>402</v>
      </c>
    </row>
    <row r="15" spans="1:8" ht="30" customHeight="1" x14ac:dyDescent="0.25">
      <c r="A15" s="244"/>
      <c r="B15" s="292" t="s">
        <v>496</v>
      </c>
      <c r="C15" s="357" t="s">
        <v>507</v>
      </c>
      <c r="D15" s="360" t="s">
        <v>510</v>
      </c>
      <c r="E15" s="352"/>
      <c r="F15" s="371">
        <v>205</v>
      </c>
      <c r="G15" s="370"/>
      <c r="H15" s="247"/>
    </row>
    <row r="16" spans="1:8" ht="29.25" customHeight="1" x14ac:dyDescent="0.25">
      <c r="A16" s="244"/>
      <c r="B16" s="292" t="s">
        <v>497</v>
      </c>
      <c r="C16" s="357" t="s">
        <v>511</v>
      </c>
      <c r="D16" s="360" t="s">
        <v>512</v>
      </c>
      <c r="E16" s="352"/>
      <c r="F16" s="370">
        <v>125</v>
      </c>
      <c r="G16" s="370"/>
      <c r="H16" s="247"/>
    </row>
    <row r="17" spans="1:8" x14ac:dyDescent="0.25">
      <c r="A17" s="244">
        <v>46071</v>
      </c>
      <c r="B17" s="292" t="s">
        <v>498</v>
      </c>
      <c r="C17" s="316" t="s">
        <v>513</v>
      </c>
      <c r="D17" s="359"/>
      <c r="E17" s="352">
        <v>200</v>
      </c>
      <c r="F17" s="370"/>
      <c r="G17" s="370"/>
      <c r="H17" s="247"/>
    </row>
    <row r="18" spans="1:8" x14ac:dyDescent="0.25">
      <c r="A18" s="244">
        <v>46072</v>
      </c>
      <c r="B18" s="292" t="s">
        <v>499</v>
      </c>
      <c r="C18" s="21" t="s">
        <v>514</v>
      </c>
      <c r="D18" s="359" t="s">
        <v>515</v>
      </c>
      <c r="E18" s="352"/>
      <c r="F18" s="370"/>
      <c r="G18" s="371">
        <v>132.5</v>
      </c>
      <c r="H18" s="247"/>
    </row>
    <row r="19" spans="1:8" x14ac:dyDescent="0.25">
      <c r="A19" s="244">
        <v>46073</v>
      </c>
      <c r="B19" s="292" t="s">
        <v>500</v>
      </c>
      <c r="C19" s="21" t="s">
        <v>517</v>
      </c>
      <c r="D19" s="359" t="s">
        <v>518</v>
      </c>
      <c r="E19" s="352"/>
      <c r="F19" s="370"/>
      <c r="G19" s="370"/>
      <c r="H19" s="247">
        <v>1100</v>
      </c>
    </row>
    <row r="20" spans="1:8" x14ac:dyDescent="0.25">
      <c r="A20" s="244"/>
      <c r="B20" s="292" t="s">
        <v>516</v>
      </c>
      <c r="C20" s="21" t="s">
        <v>337</v>
      </c>
      <c r="D20" s="358" t="s">
        <v>519</v>
      </c>
      <c r="F20" s="369"/>
      <c r="G20" s="369"/>
      <c r="H20" s="247">
        <v>486</v>
      </c>
    </row>
    <row r="21" spans="1:8" x14ac:dyDescent="0.25">
      <c r="A21" s="244"/>
      <c r="B21" s="292"/>
      <c r="D21" s="253"/>
      <c r="E21" s="352"/>
      <c r="F21" s="352"/>
      <c r="G21" s="352"/>
      <c r="H21" s="254"/>
    </row>
    <row r="22" spans="1:8" x14ac:dyDescent="0.25">
      <c r="A22" s="244"/>
      <c r="B22" s="292"/>
      <c r="D22" s="255"/>
      <c r="E22" s="353"/>
      <c r="F22" s="353"/>
      <c r="G22" s="353"/>
      <c r="H22" s="256"/>
    </row>
    <row r="23" spans="1:8" x14ac:dyDescent="0.25">
      <c r="A23" s="244"/>
      <c r="D23" s="255"/>
      <c r="E23" s="353"/>
      <c r="F23" s="353"/>
      <c r="G23" s="353"/>
      <c r="H23" s="256"/>
    </row>
    <row r="24" spans="1:8" x14ac:dyDescent="0.25">
      <c r="A24" s="244"/>
      <c r="D24" s="255"/>
      <c r="E24" s="353"/>
      <c r="F24" s="353"/>
      <c r="G24" s="353"/>
      <c r="H24" s="256"/>
    </row>
    <row r="25" spans="1:8" x14ac:dyDescent="0.25">
      <c r="A25" s="244"/>
      <c r="D25" s="255"/>
      <c r="E25" s="353"/>
      <c r="F25" s="353"/>
      <c r="G25" s="353"/>
      <c r="H25" s="256"/>
    </row>
    <row r="26" spans="1:8" x14ac:dyDescent="0.25">
      <c r="A26" s="244"/>
      <c r="D26" s="255"/>
      <c r="E26" s="353"/>
      <c r="F26" s="353"/>
      <c r="G26" s="353"/>
      <c r="H26" s="256"/>
    </row>
    <row r="27" spans="1:8" x14ac:dyDescent="0.25">
      <c r="A27" s="244"/>
      <c r="D27" s="255"/>
      <c r="E27" s="353"/>
      <c r="F27" s="353"/>
      <c r="G27" s="353"/>
      <c r="H27" s="256"/>
    </row>
    <row r="28" spans="1:8" x14ac:dyDescent="0.25">
      <c r="A28" s="244"/>
      <c r="D28" s="255"/>
      <c r="E28" s="353"/>
      <c r="F28" s="353"/>
      <c r="G28" s="353"/>
      <c r="H28" s="256"/>
    </row>
    <row r="29" spans="1:8" x14ac:dyDescent="0.25">
      <c r="A29" s="244"/>
      <c r="D29" s="255"/>
      <c r="E29" s="353"/>
      <c r="F29" s="353"/>
      <c r="G29" s="353"/>
      <c r="H29" s="256"/>
    </row>
    <row r="30" spans="1:8" x14ac:dyDescent="0.25">
      <c r="A30" s="244"/>
      <c r="D30" s="255"/>
      <c r="E30" s="353"/>
      <c r="F30" s="353"/>
      <c r="G30" s="353"/>
      <c r="H30" s="256"/>
    </row>
    <row r="31" spans="1:8" x14ac:dyDescent="0.25">
      <c r="A31" s="244"/>
      <c r="D31" s="255"/>
      <c r="E31" s="353"/>
      <c r="F31" s="353"/>
      <c r="G31" s="353"/>
      <c r="H31" s="256"/>
    </row>
    <row r="32" spans="1:8" x14ac:dyDescent="0.25">
      <c r="A32" s="244"/>
      <c r="D32" s="255"/>
      <c r="E32" s="353"/>
      <c r="F32" s="353"/>
      <c r="G32" s="353"/>
      <c r="H32" s="256"/>
    </row>
    <row r="33" spans="1:8" x14ac:dyDescent="0.25">
      <c r="A33" s="244"/>
      <c r="H33" s="247"/>
    </row>
    <row r="34" spans="1:8" x14ac:dyDescent="0.25">
      <c r="A34" s="244"/>
      <c r="D34" s="255"/>
      <c r="E34" s="353"/>
      <c r="F34" s="353"/>
      <c r="G34" s="353"/>
      <c r="H34" s="257"/>
    </row>
    <row r="35" spans="1:8" x14ac:dyDescent="0.25">
      <c r="A35" s="244"/>
      <c r="D35" s="255"/>
      <c r="E35" s="353"/>
      <c r="F35" s="353"/>
      <c r="G35" s="353"/>
      <c r="H35" s="257"/>
    </row>
    <row r="36" spans="1:8" x14ac:dyDescent="0.25">
      <c r="A36" s="244"/>
      <c r="D36" s="255"/>
      <c r="E36" s="353"/>
      <c r="F36" s="353"/>
      <c r="G36" s="353"/>
      <c r="H36" s="257"/>
    </row>
    <row r="37" spans="1:8" x14ac:dyDescent="0.25">
      <c r="A37" s="244"/>
      <c r="D37" s="255"/>
      <c r="E37" s="353"/>
      <c r="F37" s="353"/>
      <c r="G37" s="353"/>
      <c r="H37" s="257"/>
    </row>
    <row r="38" spans="1:8" x14ac:dyDescent="0.25">
      <c r="A38" s="244"/>
      <c r="D38" s="255"/>
      <c r="E38" s="353"/>
      <c r="F38" s="353"/>
      <c r="G38" s="353"/>
      <c r="H38" s="257"/>
    </row>
    <row r="39" spans="1:8" x14ac:dyDescent="0.25">
      <c r="A39" s="244"/>
      <c r="D39" s="255"/>
      <c r="E39" s="353"/>
      <c r="F39" s="353"/>
      <c r="G39" s="353"/>
      <c r="H39" s="257"/>
    </row>
    <row r="40" spans="1:8" x14ac:dyDescent="0.25">
      <c r="A40" s="244"/>
      <c r="D40" s="255"/>
      <c r="E40" s="353"/>
      <c r="F40" s="353"/>
      <c r="G40" s="353"/>
      <c r="H40" s="257"/>
    </row>
    <row r="41" spans="1:8" x14ac:dyDescent="0.25">
      <c r="A41" s="244"/>
      <c r="D41" s="255"/>
      <c r="E41" s="353"/>
      <c r="F41" s="353"/>
      <c r="G41" s="353"/>
      <c r="H41" s="257"/>
    </row>
    <row r="42" spans="1:8" x14ac:dyDescent="0.25">
      <c r="A42" s="244"/>
      <c r="D42" s="255"/>
      <c r="E42" s="354"/>
      <c r="F42" s="354"/>
      <c r="G42" s="354"/>
      <c r="H42" s="322"/>
    </row>
    <row r="43" spans="1:8" x14ac:dyDescent="0.25">
      <c r="A43" s="244"/>
      <c r="D43" s="255"/>
      <c r="E43" s="372">
        <f>SUM(E11:E24)</f>
        <v>270</v>
      </c>
      <c r="F43" s="372">
        <f t="shared" ref="F43:H43" si="0">SUM(F11:F24)</f>
        <v>330</v>
      </c>
      <c r="G43" s="372">
        <f t="shared" si="0"/>
        <v>132.5</v>
      </c>
      <c r="H43" s="373">
        <f t="shared" si="0"/>
        <v>3078</v>
      </c>
    </row>
    <row r="44" spans="1:8" ht="16.5" thickBot="1" x14ac:dyDescent="0.3">
      <c r="A44" s="244"/>
      <c r="D44" s="47" t="s">
        <v>32</v>
      </c>
      <c r="E44" s="365">
        <f>SUM(E43:H43)</f>
        <v>3810.5</v>
      </c>
      <c r="F44" s="335"/>
      <c r="G44" s="366"/>
      <c r="H44" s="258"/>
    </row>
    <row r="45" spans="1:8" ht="16.5" thickTop="1" x14ac:dyDescent="0.25">
      <c r="A45" s="244"/>
      <c r="D45" s="47"/>
      <c r="E45" s="335"/>
      <c r="F45" s="335"/>
      <c r="G45" s="335"/>
      <c r="H45" s="258"/>
    </row>
    <row r="46" spans="1:8" x14ac:dyDescent="0.25">
      <c r="A46" s="244"/>
      <c r="H46" s="247"/>
    </row>
    <row r="47" spans="1:8" x14ac:dyDescent="0.25">
      <c r="A47" s="259"/>
      <c r="B47" s="260"/>
      <c r="C47" s="261"/>
      <c r="D47" s="262"/>
      <c r="E47" s="354"/>
      <c r="F47" s="354"/>
      <c r="G47" s="354"/>
      <c r="H47" s="263"/>
    </row>
    <row r="48" spans="1:8" ht="15.75" x14ac:dyDescent="0.25">
      <c r="A48" s="264" t="s">
        <v>12</v>
      </c>
      <c r="B48" s="265"/>
      <c r="C48" s="201"/>
      <c r="D48" s="266" t="s">
        <v>260</v>
      </c>
      <c r="E48" s="355"/>
      <c r="F48" s="355"/>
      <c r="G48" s="355"/>
      <c r="H48" s="243"/>
    </row>
    <row r="49" spans="1:8" ht="15.75" x14ac:dyDescent="0.25">
      <c r="A49" s="267"/>
      <c r="B49" s="268"/>
      <c r="C49" s="41"/>
      <c r="D49" s="41"/>
      <c r="E49" s="40"/>
      <c r="F49" s="40"/>
      <c r="G49" s="40"/>
      <c r="H49" s="247"/>
    </row>
    <row r="50" spans="1:8" ht="15.75" x14ac:dyDescent="0.25">
      <c r="A50" s="267"/>
      <c r="B50" s="268"/>
      <c r="C50" s="41"/>
      <c r="D50" s="41"/>
      <c r="E50" s="40"/>
      <c r="F50" s="40"/>
      <c r="G50" s="40"/>
      <c r="H50" s="247"/>
    </row>
    <row r="51" spans="1:8" x14ac:dyDescent="0.25">
      <c r="A51" s="520" t="s">
        <v>15</v>
      </c>
      <c r="B51" s="521"/>
      <c r="C51" s="521"/>
      <c r="D51" s="488" t="s">
        <v>5</v>
      </c>
      <c r="E51" s="488"/>
      <c r="F51" s="488"/>
      <c r="G51" s="488"/>
      <c r="H51" s="489"/>
    </row>
    <row r="52" spans="1:8" x14ac:dyDescent="0.25">
      <c r="A52" s="503" t="s">
        <v>17</v>
      </c>
      <c r="B52" s="504"/>
      <c r="C52" s="504"/>
      <c r="D52" s="455" t="s">
        <v>18</v>
      </c>
      <c r="E52" s="455"/>
      <c r="F52" s="455"/>
      <c r="G52" s="455"/>
      <c r="H52" s="456"/>
    </row>
    <row r="53" spans="1:8" x14ac:dyDescent="0.25">
      <c r="A53" s="497" t="s">
        <v>261</v>
      </c>
      <c r="B53" s="495"/>
      <c r="C53" s="495"/>
      <c r="D53" s="495"/>
      <c r="E53" s="495"/>
      <c r="F53" s="495"/>
      <c r="G53" s="495"/>
      <c r="H53" s="496"/>
    </row>
    <row r="54" spans="1:8" ht="15.75" x14ac:dyDescent="0.25">
      <c r="A54" s="267"/>
      <c r="B54" s="268"/>
      <c r="C54" s="41"/>
      <c r="D54" s="41"/>
      <c r="E54" s="40"/>
      <c r="F54" s="40"/>
      <c r="G54" s="40"/>
      <c r="H54" s="188"/>
    </row>
    <row r="55" spans="1:8" ht="15.75" x14ac:dyDescent="0.25">
      <c r="A55" s="267"/>
      <c r="B55" s="268"/>
      <c r="C55" s="41"/>
      <c r="D55" s="41"/>
      <c r="E55" s="40"/>
      <c r="F55" s="40"/>
      <c r="G55" s="40"/>
      <c r="H55" s="188"/>
    </row>
    <row r="56" spans="1:8" x14ac:dyDescent="0.25">
      <c r="A56" s="490" t="s">
        <v>22</v>
      </c>
      <c r="B56" s="491"/>
      <c r="C56" s="491"/>
      <c r="D56" s="491"/>
      <c r="E56" s="491"/>
      <c r="F56" s="491"/>
      <c r="G56" s="491"/>
      <c r="H56" s="492"/>
    </row>
    <row r="57" spans="1:8" x14ac:dyDescent="0.25">
      <c r="A57" s="454" t="s">
        <v>24</v>
      </c>
      <c r="B57" s="455"/>
      <c r="C57" s="455"/>
      <c r="D57" s="455"/>
      <c r="E57" s="455"/>
      <c r="F57" s="455"/>
      <c r="G57" s="455"/>
      <c r="H57" s="456"/>
    </row>
    <row r="62" spans="1:8" x14ac:dyDescent="0.25">
      <c r="C62" s="501"/>
      <c r="D62" s="501"/>
      <c r="E62" s="356"/>
      <c r="F62" s="356"/>
      <c r="G62" s="356"/>
    </row>
    <row r="63" spans="1:8" x14ac:dyDescent="0.25">
      <c r="C63" s="500"/>
      <c r="D63" s="500"/>
      <c r="E63" s="352"/>
      <c r="F63" s="352"/>
      <c r="G63" s="352"/>
    </row>
    <row r="64" spans="1:8" x14ac:dyDescent="0.25">
      <c r="C64" s="337"/>
      <c r="D64" s="253"/>
      <c r="E64" s="352"/>
      <c r="F64" s="352"/>
      <c r="G64" s="352"/>
    </row>
    <row r="68" spans="3:7" x14ac:dyDescent="0.25">
      <c r="C68" s="501"/>
      <c r="D68" s="501"/>
      <c r="E68" s="356"/>
      <c r="F68" s="356"/>
      <c r="G68" s="356"/>
    </row>
    <row r="69" spans="3:7" x14ac:dyDescent="0.25">
      <c r="C69" s="502"/>
      <c r="D69" s="502"/>
    </row>
  </sheetData>
  <mergeCells count="15">
    <mergeCell ref="A5:H5"/>
    <mergeCell ref="A6:H6"/>
    <mergeCell ref="A7:H7"/>
    <mergeCell ref="A8:H9"/>
    <mergeCell ref="A51:C51"/>
    <mergeCell ref="D51:H51"/>
    <mergeCell ref="C63:D63"/>
    <mergeCell ref="C68:D68"/>
    <mergeCell ref="C69:D69"/>
    <mergeCell ref="A52:C52"/>
    <mergeCell ref="D52:H52"/>
    <mergeCell ref="A53:H53"/>
    <mergeCell ref="A56:H56"/>
    <mergeCell ref="A57:H57"/>
    <mergeCell ref="C62:D62"/>
  </mergeCells>
  <phoneticPr fontId="38" type="noConversion"/>
  <pageMargins left="0.7" right="0.7" top="0.75" bottom="0.75" header="0.3" footer="0.3"/>
  <pageSetup paperSize="9" scale="79" fitToHeight="0" orientation="portrait" horizontalDpi="0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7117F-41F4-4F48-B0C1-A678D4357370}">
  <dimension ref="A1:J49"/>
  <sheetViews>
    <sheetView workbookViewId="0">
      <selection sqref="A1:XFD1048576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2.28515625" style="41" customWidth="1"/>
    <col min="7" max="7" width="11.85546875" style="41" customWidth="1"/>
    <col min="8" max="8" width="24.8554687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529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530</v>
      </c>
      <c r="F10" s="469"/>
      <c r="G10" s="214" t="s">
        <v>186</v>
      </c>
      <c r="H10" s="190">
        <v>46077</v>
      </c>
      <c r="I10" s="215"/>
    </row>
    <row r="11" spans="1:9" ht="15.75" x14ac:dyDescent="0.25">
      <c r="A11" s="470" t="s">
        <v>187</v>
      </c>
      <c r="B11" s="471"/>
      <c r="C11" s="527" t="s">
        <v>409</v>
      </c>
      <c r="D11" s="474"/>
      <c r="E11" s="474"/>
      <c r="F11" s="464"/>
      <c r="G11" s="447" t="s">
        <v>188</v>
      </c>
      <c r="H11" s="234" t="s">
        <v>374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375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/>
      <c r="B15" s="220"/>
      <c r="C15" s="220"/>
      <c r="D15" s="220"/>
      <c r="E15" s="220"/>
      <c r="F15" s="221"/>
      <c r="G15" s="187"/>
      <c r="H15" s="188"/>
    </row>
    <row r="16" spans="1:9" x14ac:dyDescent="0.2">
      <c r="A16" s="218" t="s">
        <v>531</v>
      </c>
      <c r="B16" s="220"/>
      <c r="C16" s="220"/>
      <c r="D16" s="220"/>
      <c r="E16" s="220"/>
      <c r="F16" s="221"/>
      <c r="G16" s="187"/>
      <c r="H16" s="188"/>
    </row>
    <row r="17" spans="1:10" ht="15.75" x14ac:dyDescent="0.2">
      <c r="A17" s="272" t="s">
        <v>532</v>
      </c>
      <c r="B17" s="70"/>
      <c r="C17" s="70"/>
      <c r="D17" s="70"/>
      <c r="E17" s="70"/>
      <c r="F17" s="219"/>
      <c r="G17" s="224"/>
      <c r="H17" s="225">
        <v>37685</v>
      </c>
    </row>
    <row r="18" spans="1:10" x14ac:dyDescent="0.2">
      <c r="A18" s="218"/>
      <c r="B18" s="70"/>
      <c r="C18" s="70"/>
      <c r="D18" s="70"/>
      <c r="E18" s="70"/>
      <c r="F18" s="219"/>
      <c r="G18" s="187"/>
      <c r="H18" s="188"/>
    </row>
    <row r="19" spans="1:10" x14ac:dyDescent="0.2">
      <c r="A19" s="218"/>
      <c r="F19" s="188"/>
      <c r="G19" s="187"/>
      <c r="H19" s="188"/>
    </row>
    <row r="20" spans="1:10" x14ac:dyDescent="0.2">
      <c r="A20" s="272"/>
      <c r="F20" s="188"/>
      <c r="G20" s="187"/>
      <c r="H20" s="188"/>
    </row>
    <row r="21" spans="1:10" x14ac:dyDescent="0.2">
      <c r="A21" s="272"/>
      <c r="F21" s="188"/>
      <c r="G21" s="187"/>
      <c r="H21" s="188"/>
    </row>
    <row r="22" spans="1:10" x14ac:dyDescent="0.2">
      <c r="A22" s="272"/>
      <c r="F22" s="188"/>
      <c r="G22" s="187"/>
      <c r="H22" s="188"/>
    </row>
    <row r="23" spans="1:10" x14ac:dyDescent="0.2">
      <c r="A23" s="192"/>
      <c r="B23" s="193"/>
      <c r="C23" s="193"/>
      <c r="D23" s="193"/>
      <c r="E23" s="193"/>
      <c r="F23" s="194"/>
      <c r="G23" s="192"/>
      <c r="H23" s="194"/>
    </row>
    <row r="24" spans="1:10" x14ac:dyDescent="0.2">
      <c r="A24" s="192"/>
      <c r="B24" s="193"/>
      <c r="C24" s="193"/>
      <c r="D24" s="193"/>
      <c r="E24" s="193"/>
      <c r="F24" s="193"/>
      <c r="G24" s="193"/>
      <c r="H24" s="194"/>
    </row>
    <row r="25" spans="1:10" ht="15.75" x14ac:dyDescent="0.25">
      <c r="A25" s="477" t="s">
        <v>191</v>
      </c>
      <c r="B25" s="481"/>
      <c r="C25" s="481"/>
      <c r="D25" s="481"/>
      <c r="E25" s="480"/>
      <c r="F25" s="482" t="s">
        <v>192</v>
      </c>
      <c r="G25" s="483"/>
      <c r="H25" s="195" t="s">
        <v>193</v>
      </c>
    </row>
    <row r="26" spans="1:10" x14ac:dyDescent="0.2">
      <c r="A26" s="226" t="s">
        <v>377</v>
      </c>
      <c r="B26" s="197"/>
      <c r="C26" s="197"/>
      <c r="D26" s="197"/>
      <c r="E26" s="197"/>
      <c r="F26" s="484">
        <v>37685</v>
      </c>
      <c r="G26" s="484"/>
      <c r="H26" s="341"/>
      <c r="J26" s="41" t="s">
        <v>196</v>
      </c>
    </row>
    <row r="27" spans="1:10" x14ac:dyDescent="0.2">
      <c r="A27" s="226"/>
      <c r="B27" s="70" t="s">
        <v>41</v>
      </c>
      <c r="C27" s="197"/>
      <c r="D27" s="197"/>
      <c r="E27" s="197"/>
      <c r="F27" s="484"/>
      <c r="G27" s="484"/>
      <c r="H27" s="230">
        <f>SUM(F26)</f>
        <v>37685</v>
      </c>
    </row>
    <row r="28" spans="1:10" x14ac:dyDescent="0.2">
      <c r="A28" s="226"/>
      <c r="B28" s="197"/>
      <c r="C28" s="197"/>
      <c r="D28" s="197"/>
      <c r="E28" s="197"/>
      <c r="F28" s="484"/>
      <c r="G28" s="484"/>
      <c r="H28" s="227"/>
    </row>
    <row r="29" spans="1:10" x14ac:dyDescent="0.2">
      <c r="A29" s="226"/>
      <c r="C29" s="197"/>
      <c r="D29" s="197"/>
      <c r="E29" s="197"/>
      <c r="F29" s="484"/>
      <c r="G29" s="484"/>
      <c r="H29" s="227"/>
    </row>
    <row r="30" spans="1:10" x14ac:dyDescent="0.2">
      <c r="A30" s="196"/>
      <c r="B30" s="231"/>
      <c r="C30" s="197"/>
      <c r="D30" s="197"/>
      <c r="E30" s="199"/>
      <c r="F30" s="486"/>
      <c r="G30" s="486"/>
      <c r="H30" s="294"/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13</v>
      </c>
      <c r="F32" s="201"/>
      <c r="G32" s="202"/>
      <c r="H32" s="203" t="s">
        <v>14</v>
      </c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187"/>
      <c r="D34" s="188"/>
      <c r="E34" s="187"/>
      <c r="G34" s="188"/>
      <c r="H34" s="204"/>
    </row>
    <row r="35" spans="1:8" x14ac:dyDescent="0.2">
      <c r="A35" s="232" t="s">
        <v>15</v>
      </c>
      <c r="B35" s="205"/>
      <c r="C35" s="205"/>
      <c r="D35" s="206"/>
      <c r="E35" s="487" t="s">
        <v>5</v>
      </c>
      <c r="F35" s="48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H38" s="188"/>
    </row>
    <row r="39" spans="1:8" x14ac:dyDescent="0.2">
      <c r="A39" s="187"/>
      <c r="H39" s="188"/>
    </row>
    <row r="40" spans="1:8" ht="15.75" customHeight="1" x14ac:dyDescent="0.2">
      <c r="A40" s="490" t="s">
        <v>21</v>
      </c>
      <c r="B40" s="491"/>
      <c r="C40" s="491"/>
      <c r="D40" s="491"/>
      <c r="E40" s="491"/>
      <c r="F40" s="491" t="s">
        <v>22</v>
      </c>
      <c r="G40" s="491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534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237" t="s">
        <v>533</v>
      </c>
      <c r="G43" s="209" t="s">
        <v>195</v>
      </c>
      <c r="H43" s="238"/>
    </row>
    <row r="44" spans="1:8" x14ac:dyDescent="0.2">
      <c r="A44" s="210"/>
      <c r="G44" s="209" t="s">
        <v>186</v>
      </c>
      <c r="H44" s="188"/>
    </row>
    <row r="45" spans="1:8" x14ac:dyDescent="0.2">
      <c r="A45" s="187"/>
      <c r="H45" s="188"/>
    </row>
    <row r="46" spans="1:8" x14ac:dyDescent="0.2">
      <c r="A46" s="187"/>
      <c r="H46" s="188"/>
    </row>
    <row r="47" spans="1:8" ht="15.75" thickBot="1" x14ac:dyDescent="0.25">
      <c r="A47" s="187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2">
    <mergeCell ref="G48:H48"/>
    <mergeCell ref="A37:E37"/>
    <mergeCell ref="F37:H37"/>
    <mergeCell ref="A40:E40"/>
    <mergeCell ref="F40:H40"/>
    <mergeCell ref="A41:E41"/>
    <mergeCell ref="F41:H41"/>
    <mergeCell ref="A36:D36"/>
    <mergeCell ref="E36:G36"/>
    <mergeCell ref="A13:F13"/>
    <mergeCell ref="G13:H13"/>
    <mergeCell ref="A25:E25"/>
    <mergeCell ref="F25:G25"/>
    <mergeCell ref="F26:G26"/>
    <mergeCell ref="F27:G27"/>
    <mergeCell ref="F28:G28"/>
    <mergeCell ref="F29:G29"/>
    <mergeCell ref="F30:G30"/>
    <mergeCell ref="F31:G31"/>
    <mergeCell ref="E35:G35"/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9441" r:id="rId4" name="Check Box 1">
              <controlPr defaultSize="0" autoFill="0" autoLine="0" autoPict="0">
                <anchor moveWithCells="1">
                  <from>
                    <xdr:col>2</xdr:col>
                    <xdr:colOff>114300</xdr:colOff>
                    <xdr:row>3</xdr:row>
                    <xdr:rowOff>0</xdr:rowOff>
                  </from>
                  <to>
                    <xdr:col>2</xdr:col>
                    <xdr:colOff>352425</xdr:colOff>
                    <xdr:row>15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43" r:id="rId5" name="Check Box 3">
              <controlPr defaultSize="0" autoFill="0" autoLine="0" autoPict="0">
                <anchor moveWithCells="1">
                  <from>
                    <xdr:col>2</xdr:col>
                    <xdr:colOff>104775</xdr:colOff>
                    <xdr:row>4</xdr:row>
                    <xdr:rowOff>66675</xdr:rowOff>
                  </from>
                  <to>
                    <xdr:col>2</xdr:col>
                    <xdr:colOff>342900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9444" r:id="rId6" name="Check Box 4">
              <controlPr defaultSize="0" autoFill="0" autoLine="0" autoPict="0">
                <anchor moveWithCells="1">
                  <from>
                    <xdr:col>3</xdr:col>
                    <xdr:colOff>428625</xdr:colOff>
                    <xdr:row>4</xdr:row>
                    <xdr:rowOff>76200</xdr:rowOff>
                  </from>
                  <to>
                    <xdr:col>4</xdr:col>
                    <xdr:colOff>123825</xdr:colOff>
                    <xdr:row>14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A497A-5317-42FA-8240-AF4DBBD6E531}">
  <dimension ref="A1:J49"/>
  <sheetViews>
    <sheetView workbookViewId="0">
      <selection sqref="A1:XFD1048576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1" style="41" customWidth="1"/>
    <col min="7" max="7" width="13.42578125" style="41" customWidth="1"/>
    <col min="8" max="8" width="24.8554687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535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46077</v>
      </c>
      <c r="I10" s="215"/>
    </row>
    <row r="11" spans="1:9" ht="15.75" x14ac:dyDescent="0.25">
      <c r="A11" s="470" t="s">
        <v>187</v>
      </c>
      <c r="B11" s="471"/>
      <c r="C11" s="474" t="s">
        <v>536</v>
      </c>
      <c r="D11" s="474"/>
      <c r="E11" s="474"/>
      <c r="F11" s="464"/>
      <c r="G11" s="447" t="s">
        <v>188</v>
      </c>
      <c r="H11" s="234" t="s">
        <v>368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201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 t="s">
        <v>537</v>
      </c>
      <c r="B15" s="220"/>
      <c r="C15" s="220"/>
      <c r="D15" s="220"/>
      <c r="E15" s="220"/>
      <c r="F15" s="221"/>
      <c r="G15" s="187"/>
      <c r="H15" s="188"/>
    </row>
    <row r="16" spans="1:9" x14ac:dyDescent="0.2">
      <c r="A16" s="218" t="s">
        <v>538</v>
      </c>
      <c r="B16" s="220"/>
      <c r="C16" s="220"/>
      <c r="D16" s="220"/>
      <c r="E16" s="220"/>
      <c r="F16" s="221"/>
      <c r="G16" s="187"/>
      <c r="H16" s="188"/>
    </row>
    <row r="17" spans="1:10" ht="15.75" x14ac:dyDescent="0.2">
      <c r="A17" s="218" t="s">
        <v>540</v>
      </c>
      <c r="B17" s="70"/>
      <c r="C17" s="70"/>
      <c r="D17" s="70"/>
      <c r="E17" s="70"/>
      <c r="F17" s="219"/>
      <c r="G17" s="224"/>
      <c r="H17" s="225">
        <v>3000</v>
      </c>
    </row>
    <row r="18" spans="1:10" x14ac:dyDescent="0.2">
      <c r="A18" s="218" t="s">
        <v>539</v>
      </c>
      <c r="B18" s="70"/>
      <c r="C18" s="70"/>
      <c r="D18" s="70"/>
      <c r="E18" s="70"/>
      <c r="F18" s="331"/>
      <c r="G18" s="187"/>
      <c r="H18" s="188"/>
    </row>
    <row r="19" spans="1:10" x14ac:dyDescent="0.2">
      <c r="A19" s="218"/>
      <c r="F19" s="339"/>
      <c r="G19" s="187"/>
      <c r="H19" s="188"/>
    </row>
    <row r="20" spans="1:10" x14ac:dyDescent="0.2">
      <c r="A20" s="218"/>
      <c r="F20" s="340"/>
      <c r="G20" s="187"/>
      <c r="H20" s="188"/>
    </row>
    <row r="21" spans="1:10" x14ac:dyDescent="0.2">
      <c r="A21" s="272"/>
      <c r="F21" s="188"/>
      <c r="G21" s="187"/>
      <c r="H21" s="188"/>
    </row>
    <row r="22" spans="1:10" x14ac:dyDescent="0.2">
      <c r="A22" s="272"/>
      <c r="F22" s="188"/>
      <c r="G22" s="187"/>
      <c r="H22" s="188"/>
    </row>
    <row r="23" spans="1:10" x14ac:dyDescent="0.2">
      <c r="A23" s="192"/>
      <c r="B23" s="193"/>
      <c r="C23" s="193"/>
      <c r="D23" s="193"/>
      <c r="E23" s="193"/>
      <c r="F23" s="194"/>
      <c r="G23" s="192"/>
      <c r="H23" s="194"/>
    </row>
    <row r="24" spans="1:10" x14ac:dyDescent="0.2">
      <c r="A24" s="192"/>
      <c r="B24" s="193"/>
      <c r="C24" s="193"/>
      <c r="D24" s="193"/>
      <c r="E24" s="193"/>
      <c r="F24" s="193"/>
      <c r="G24" s="193"/>
      <c r="H24" s="194"/>
    </row>
    <row r="25" spans="1:10" ht="15.75" x14ac:dyDescent="0.25">
      <c r="A25" s="477" t="s">
        <v>191</v>
      </c>
      <c r="B25" s="481"/>
      <c r="C25" s="481"/>
      <c r="D25" s="481"/>
      <c r="E25" s="480"/>
      <c r="F25" s="482" t="s">
        <v>192</v>
      </c>
      <c r="G25" s="483"/>
      <c r="H25" s="195" t="s">
        <v>193</v>
      </c>
    </row>
    <row r="26" spans="1:10" x14ac:dyDescent="0.2">
      <c r="A26" s="226" t="s">
        <v>541</v>
      </c>
      <c r="B26" s="197"/>
      <c r="C26" s="197"/>
      <c r="D26" s="197"/>
      <c r="E26" s="197"/>
      <c r="F26" s="484">
        <v>3000</v>
      </c>
      <c r="G26" s="484"/>
      <c r="H26" s="341"/>
      <c r="J26" s="41" t="s">
        <v>196</v>
      </c>
    </row>
    <row r="27" spans="1:10" x14ac:dyDescent="0.2">
      <c r="A27" s="226"/>
      <c r="B27" s="70" t="s">
        <v>11</v>
      </c>
      <c r="C27" s="197"/>
      <c r="D27" s="197"/>
      <c r="E27" s="197"/>
      <c r="F27" s="484"/>
      <c r="G27" s="484"/>
      <c r="H27" s="230">
        <f>SUM(F26)</f>
        <v>3000</v>
      </c>
    </row>
    <row r="28" spans="1:10" x14ac:dyDescent="0.2">
      <c r="A28" s="226"/>
      <c r="B28" s="197"/>
      <c r="C28" s="197"/>
      <c r="D28" s="197"/>
      <c r="E28" s="197"/>
      <c r="F28" s="484"/>
      <c r="G28" s="484"/>
      <c r="H28" s="227"/>
    </row>
    <row r="29" spans="1:10" x14ac:dyDescent="0.2">
      <c r="A29" s="226"/>
      <c r="C29" s="197"/>
      <c r="D29" s="197"/>
      <c r="E29" s="197"/>
      <c r="F29" s="484"/>
      <c r="G29" s="484"/>
      <c r="H29" s="227"/>
    </row>
    <row r="30" spans="1:10" x14ac:dyDescent="0.2">
      <c r="A30" s="196"/>
      <c r="B30" s="231"/>
      <c r="C30" s="197"/>
      <c r="D30" s="197"/>
      <c r="E30" s="199"/>
      <c r="F30" s="486"/>
      <c r="G30" s="486"/>
      <c r="H30" s="294"/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13</v>
      </c>
      <c r="F32" s="201"/>
      <c r="G32" s="202"/>
      <c r="H32" s="203" t="s">
        <v>14</v>
      </c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187"/>
      <c r="D34" s="188"/>
      <c r="E34" s="187"/>
      <c r="G34" s="188"/>
      <c r="H34" s="204"/>
    </row>
    <row r="35" spans="1:8" x14ac:dyDescent="0.2">
      <c r="A35" s="232" t="s">
        <v>15</v>
      </c>
      <c r="B35" s="205"/>
      <c r="C35" s="205"/>
      <c r="D35" s="206"/>
      <c r="E35" s="487" t="s">
        <v>5</v>
      </c>
      <c r="F35" s="48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H38" s="188"/>
    </row>
    <row r="39" spans="1:8" x14ac:dyDescent="0.2">
      <c r="A39" s="187"/>
      <c r="H39" s="188"/>
    </row>
    <row r="40" spans="1:8" ht="15.75" customHeight="1" x14ac:dyDescent="0.2">
      <c r="A40" s="490" t="s">
        <v>21</v>
      </c>
      <c r="B40" s="491"/>
      <c r="C40" s="491"/>
      <c r="D40" s="491"/>
      <c r="E40" s="491"/>
      <c r="F40" s="491" t="s">
        <v>22</v>
      </c>
      <c r="G40" s="491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542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236" t="s">
        <v>543</v>
      </c>
      <c r="G43" s="209" t="s">
        <v>195</v>
      </c>
      <c r="H43" s="238"/>
    </row>
    <row r="44" spans="1:8" x14ac:dyDescent="0.2">
      <c r="A44" s="210"/>
      <c r="G44" s="209" t="s">
        <v>186</v>
      </c>
      <c r="H44" s="188"/>
    </row>
    <row r="45" spans="1:8" x14ac:dyDescent="0.2">
      <c r="A45" s="187"/>
      <c r="H45" s="188"/>
    </row>
    <row r="46" spans="1:8" x14ac:dyDescent="0.2">
      <c r="A46" s="187"/>
      <c r="H46" s="188"/>
    </row>
    <row r="47" spans="1:8" ht="15.75" thickBot="1" x14ac:dyDescent="0.25">
      <c r="A47" s="187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2">
    <mergeCell ref="G48:H48"/>
    <mergeCell ref="A37:E37"/>
    <mergeCell ref="F37:H37"/>
    <mergeCell ref="A40:E40"/>
    <mergeCell ref="F40:H40"/>
    <mergeCell ref="A41:E41"/>
    <mergeCell ref="F41:H41"/>
    <mergeCell ref="A36:D36"/>
    <mergeCell ref="E36:G36"/>
    <mergeCell ref="A13:F13"/>
    <mergeCell ref="G13:H13"/>
    <mergeCell ref="A25:E25"/>
    <mergeCell ref="F25:G25"/>
    <mergeCell ref="F26:G26"/>
    <mergeCell ref="F27:G27"/>
    <mergeCell ref="F28:G28"/>
    <mergeCell ref="F29:G29"/>
    <mergeCell ref="F30:G30"/>
    <mergeCell ref="F31:G31"/>
    <mergeCell ref="E35:G35"/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0465" r:id="rId4" name="Check Box 1">
              <controlPr defaultSize="0" autoFill="0" autoLine="0" autoPict="0">
                <anchor moveWithCells="1">
                  <from>
                    <xdr:col>2</xdr:col>
                    <xdr:colOff>104775</xdr:colOff>
                    <xdr:row>2</xdr:row>
                    <xdr:rowOff>180975</xdr:rowOff>
                  </from>
                  <to>
                    <xdr:col>2</xdr:col>
                    <xdr:colOff>342900</xdr:colOff>
                    <xdr:row>15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0466" r:id="rId5" name="Check Box 2">
              <controlPr defaultSize="0" autoFill="0" autoLine="0" autoPict="0">
                <anchor moveWithCells="1">
                  <from>
                    <xdr:col>4</xdr:col>
                    <xdr:colOff>200025</xdr:colOff>
                    <xdr:row>3</xdr:row>
                    <xdr:rowOff>9525</xdr:rowOff>
                  </from>
                  <to>
                    <xdr:col>4</xdr:col>
                    <xdr:colOff>438150</xdr:colOff>
                    <xdr:row>15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0F31-C050-44FE-A02C-84DEB9A9D616}">
  <dimension ref="A1:J49"/>
  <sheetViews>
    <sheetView workbookViewId="0">
      <selection activeCell="J31" sqref="J31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1" style="41" customWidth="1"/>
    <col min="7" max="7" width="13.42578125" style="41" customWidth="1"/>
    <col min="8" max="8" width="24.8554687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B2" s="275"/>
      <c r="C2" s="275"/>
      <c r="D2" s="275"/>
      <c r="E2" s="275"/>
      <c r="F2" s="275"/>
      <c r="G2" s="275"/>
      <c r="H2" s="188"/>
    </row>
    <row r="3" spans="1:9" x14ac:dyDescent="0.2">
      <c r="A3" s="187"/>
      <c r="B3" s="275"/>
      <c r="C3" s="275"/>
      <c r="D3" s="275"/>
      <c r="E3" s="275"/>
      <c r="F3" s="275"/>
      <c r="G3" s="275"/>
      <c r="H3" s="188"/>
    </row>
    <row r="4" spans="1:9" x14ac:dyDescent="0.2">
      <c r="A4" s="187"/>
      <c r="B4" s="275"/>
      <c r="C4" s="275"/>
      <c r="D4" s="286"/>
      <c r="E4" s="286"/>
      <c r="F4" s="286"/>
      <c r="G4" s="286"/>
      <c r="H4" s="189"/>
      <c r="I4" s="128"/>
    </row>
    <row r="5" spans="1:9" ht="15.75" customHeight="1" x14ac:dyDescent="0.2">
      <c r="A5" s="449" t="s">
        <v>0</v>
      </c>
      <c r="B5" s="522"/>
      <c r="C5" s="522"/>
      <c r="D5" s="522"/>
      <c r="E5" s="522"/>
      <c r="F5" s="522"/>
      <c r="G5" s="522"/>
      <c r="H5" s="450"/>
      <c r="I5" s="70"/>
    </row>
    <row r="6" spans="1:9" ht="15.75" customHeight="1" x14ac:dyDescent="0.2">
      <c r="A6" s="451" t="s">
        <v>1</v>
      </c>
      <c r="B6" s="523"/>
      <c r="C6" s="523"/>
      <c r="D6" s="523"/>
      <c r="E6" s="523"/>
      <c r="F6" s="523"/>
      <c r="G6" s="523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550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46077</v>
      </c>
      <c r="I10" s="215"/>
    </row>
    <row r="11" spans="1:9" ht="15.75" x14ac:dyDescent="0.25">
      <c r="A11" s="470" t="s">
        <v>187</v>
      </c>
      <c r="B11" s="471"/>
      <c r="C11" s="474" t="s">
        <v>5</v>
      </c>
      <c r="D11" s="474"/>
      <c r="E11" s="474"/>
      <c r="F11" s="464"/>
      <c r="G11" s="447" t="s">
        <v>188</v>
      </c>
      <c r="H11" s="234" t="s">
        <v>216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217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187"/>
      <c r="B15" s="220"/>
      <c r="C15" s="220"/>
      <c r="D15" s="220"/>
      <c r="E15" s="220"/>
      <c r="F15" s="221"/>
      <c r="G15" s="187"/>
      <c r="H15" s="188"/>
    </row>
    <row r="16" spans="1:9" x14ac:dyDescent="0.2">
      <c r="A16" s="222" t="s">
        <v>552</v>
      </c>
      <c r="B16" s="220"/>
      <c r="C16" s="220"/>
      <c r="D16" s="220"/>
      <c r="E16" s="220"/>
      <c r="F16" s="221"/>
      <c r="G16" s="187"/>
      <c r="H16" s="188"/>
    </row>
    <row r="17" spans="1:10" ht="15.75" x14ac:dyDescent="0.2">
      <c r="A17" s="218" t="s">
        <v>553</v>
      </c>
      <c r="B17" s="287"/>
      <c r="C17" s="287"/>
      <c r="D17" s="287"/>
      <c r="E17" s="287"/>
      <c r="F17" s="219"/>
      <c r="G17" s="224"/>
      <c r="H17" s="225">
        <v>3015</v>
      </c>
    </row>
    <row r="18" spans="1:10" x14ac:dyDescent="0.2">
      <c r="A18" s="218" t="s">
        <v>554</v>
      </c>
      <c r="B18" s="287"/>
      <c r="C18" s="287"/>
      <c r="D18" s="287"/>
      <c r="E18" s="287"/>
      <c r="F18" s="219"/>
      <c r="G18" s="187"/>
      <c r="H18" s="188"/>
    </row>
    <row r="19" spans="1:10" x14ac:dyDescent="0.2">
      <c r="A19" s="218" t="s">
        <v>555</v>
      </c>
      <c r="B19" s="275"/>
      <c r="C19" s="275"/>
      <c r="D19" s="275"/>
      <c r="E19" s="275"/>
      <c r="F19" s="188"/>
      <c r="G19" s="187"/>
      <c r="H19" s="188"/>
    </row>
    <row r="20" spans="1:10" x14ac:dyDescent="0.2">
      <c r="A20" s="218"/>
      <c r="B20" s="275"/>
      <c r="C20" s="275"/>
      <c r="D20" s="275"/>
      <c r="E20" s="275"/>
      <c r="F20" s="188"/>
      <c r="G20" s="187"/>
      <c r="H20" s="188"/>
    </row>
    <row r="21" spans="1:10" x14ac:dyDescent="0.2">
      <c r="A21" s="272"/>
      <c r="B21" s="275"/>
      <c r="C21" s="275"/>
      <c r="D21" s="275"/>
      <c r="E21" s="275"/>
      <c r="F21" s="188"/>
      <c r="G21" s="187"/>
      <c r="H21" s="188"/>
    </row>
    <row r="22" spans="1:10" x14ac:dyDescent="0.2">
      <c r="A22" s="272"/>
      <c r="B22" s="275"/>
      <c r="C22" s="275"/>
      <c r="D22" s="275"/>
      <c r="E22" s="275"/>
      <c r="F22" s="188"/>
      <c r="G22" s="187"/>
      <c r="H22" s="188"/>
    </row>
    <row r="23" spans="1:10" x14ac:dyDescent="0.2">
      <c r="A23" s="192"/>
      <c r="B23" s="193"/>
      <c r="C23" s="193"/>
      <c r="D23" s="193"/>
      <c r="E23" s="193"/>
      <c r="F23" s="194"/>
      <c r="G23" s="192"/>
      <c r="H23" s="194"/>
    </row>
    <row r="24" spans="1:10" x14ac:dyDescent="0.2">
      <c r="A24" s="192"/>
      <c r="B24" s="193"/>
      <c r="C24" s="193"/>
      <c r="D24" s="193"/>
      <c r="E24" s="193"/>
      <c r="F24" s="193"/>
      <c r="G24" s="193"/>
      <c r="H24" s="194"/>
    </row>
    <row r="25" spans="1:10" ht="15.75" x14ac:dyDescent="0.25">
      <c r="A25" s="477" t="s">
        <v>191</v>
      </c>
      <c r="B25" s="481"/>
      <c r="C25" s="481"/>
      <c r="D25" s="481"/>
      <c r="E25" s="480"/>
      <c r="F25" s="482" t="s">
        <v>192</v>
      </c>
      <c r="G25" s="483"/>
      <c r="H25" s="195" t="s">
        <v>193</v>
      </c>
    </row>
    <row r="26" spans="1:10" x14ac:dyDescent="0.2">
      <c r="A26" s="226" t="s">
        <v>556</v>
      </c>
      <c r="B26" s="197"/>
      <c r="C26" s="197"/>
      <c r="D26" s="197"/>
      <c r="E26" s="197"/>
      <c r="F26" s="484">
        <v>2015</v>
      </c>
      <c r="G26" s="484"/>
      <c r="H26" s="374"/>
      <c r="J26" s="41" t="s">
        <v>196</v>
      </c>
    </row>
    <row r="27" spans="1:10" x14ac:dyDescent="0.2">
      <c r="A27" s="226" t="s">
        <v>557</v>
      </c>
      <c r="B27" s="275"/>
      <c r="C27" s="197"/>
      <c r="D27" s="197"/>
      <c r="E27" s="197"/>
      <c r="F27" s="484">
        <v>1000</v>
      </c>
      <c r="G27" s="484"/>
      <c r="H27" s="230"/>
    </row>
    <row r="28" spans="1:10" x14ac:dyDescent="0.2">
      <c r="A28" s="226"/>
      <c r="B28" s="231" t="s">
        <v>11</v>
      </c>
      <c r="C28" s="197"/>
      <c r="D28" s="197"/>
      <c r="E28" s="197"/>
      <c r="F28" s="484"/>
      <c r="G28" s="484"/>
      <c r="H28" s="294">
        <f>SUM(F26:G27)</f>
        <v>3015</v>
      </c>
    </row>
    <row r="29" spans="1:10" x14ac:dyDescent="0.2">
      <c r="A29" s="226"/>
      <c r="B29" s="287"/>
      <c r="C29" s="197"/>
      <c r="D29" s="197"/>
      <c r="E29" s="197"/>
      <c r="F29" s="484"/>
      <c r="G29" s="484"/>
      <c r="H29" s="294"/>
    </row>
    <row r="30" spans="1:10" x14ac:dyDescent="0.2">
      <c r="A30" s="196"/>
      <c r="B30" s="231"/>
      <c r="C30" s="197"/>
      <c r="D30" s="197"/>
      <c r="E30" s="199"/>
      <c r="F30" s="486"/>
      <c r="G30" s="486"/>
      <c r="H30" s="294"/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13</v>
      </c>
      <c r="F32" s="201"/>
      <c r="G32" s="202"/>
      <c r="H32" s="203" t="s">
        <v>14</v>
      </c>
    </row>
    <row r="33" spans="1:8" x14ac:dyDescent="0.2">
      <c r="A33" s="187"/>
      <c r="B33" s="275"/>
      <c r="C33" s="275"/>
      <c r="D33" s="188"/>
      <c r="E33" s="187"/>
      <c r="F33" s="275"/>
      <c r="G33" s="188"/>
      <c r="H33" s="204"/>
    </row>
    <row r="34" spans="1:8" x14ac:dyDescent="0.2">
      <c r="A34" s="187"/>
      <c r="B34" s="275"/>
      <c r="C34" s="275"/>
      <c r="D34" s="188"/>
      <c r="E34" s="187"/>
      <c r="F34" s="275"/>
      <c r="G34" s="188"/>
      <c r="H34" s="204"/>
    </row>
    <row r="35" spans="1:8" x14ac:dyDescent="0.2">
      <c r="A35" s="232" t="s">
        <v>15</v>
      </c>
      <c r="B35" s="323"/>
      <c r="C35" s="323"/>
      <c r="D35" s="206"/>
      <c r="E35" s="487" t="s">
        <v>5</v>
      </c>
      <c r="F35" s="52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B38" s="275"/>
      <c r="C38" s="275"/>
      <c r="D38" s="275"/>
      <c r="E38" s="275"/>
      <c r="F38" s="275"/>
      <c r="G38" s="275"/>
      <c r="H38" s="188"/>
    </row>
    <row r="39" spans="1:8" x14ac:dyDescent="0.2">
      <c r="A39" s="187"/>
      <c r="B39" s="275"/>
      <c r="C39" s="275"/>
      <c r="D39" s="275"/>
      <c r="E39" s="275"/>
      <c r="F39" s="275"/>
      <c r="G39" s="275"/>
      <c r="H39" s="188"/>
    </row>
    <row r="40" spans="1:8" ht="15.75" customHeight="1" x14ac:dyDescent="0.2">
      <c r="A40" s="490" t="s">
        <v>21</v>
      </c>
      <c r="B40" s="529"/>
      <c r="C40" s="529"/>
      <c r="D40" s="529"/>
      <c r="E40" s="529"/>
      <c r="F40" s="529" t="s">
        <v>22</v>
      </c>
      <c r="G40" s="529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558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237" t="s">
        <v>559</v>
      </c>
      <c r="B43" s="275"/>
      <c r="C43" s="275"/>
      <c r="D43" s="275"/>
      <c r="E43" s="275"/>
      <c r="F43" s="275"/>
      <c r="G43" s="324" t="s">
        <v>195</v>
      </c>
      <c r="H43" s="238"/>
    </row>
    <row r="44" spans="1:8" x14ac:dyDescent="0.2">
      <c r="A44" s="210"/>
      <c r="B44" s="275"/>
      <c r="C44" s="275"/>
      <c r="D44" s="275"/>
      <c r="E44" s="275"/>
      <c r="F44" s="275"/>
      <c r="G44" s="324" t="s">
        <v>186</v>
      </c>
      <c r="H44" s="188"/>
    </row>
    <row r="45" spans="1:8" x14ac:dyDescent="0.2">
      <c r="A45" s="187"/>
      <c r="B45" s="275"/>
      <c r="C45" s="275"/>
      <c r="D45" s="275"/>
      <c r="E45" s="275"/>
      <c r="F45" s="275"/>
      <c r="G45" s="275"/>
      <c r="H45" s="188"/>
    </row>
    <row r="46" spans="1:8" x14ac:dyDescent="0.2">
      <c r="A46" s="187"/>
      <c r="B46" s="275"/>
      <c r="C46" s="275"/>
      <c r="D46" s="275"/>
      <c r="E46" s="275"/>
      <c r="F46" s="275"/>
      <c r="G46" s="275"/>
      <c r="H46" s="188"/>
    </row>
    <row r="47" spans="1:8" ht="15.75" thickBot="1" x14ac:dyDescent="0.25">
      <c r="A47" s="187"/>
      <c r="B47" s="275"/>
      <c r="C47" s="275"/>
      <c r="D47" s="275"/>
      <c r="E47" s="275"/>
      <c r="F47" s="275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2"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  <mergeCell ref="A36:D36"/>
    <mergeCell ref="E36:G36"/>
    <mergeCell ref="A13:F13"/>
    <mergeCell ref="G13:H13"/>
    <mergeCell ref="A25:E25"/>
    <mergeCell ref="F25:G25"/>
    <mergeCell ref="F26:G26"/>
    <mergeCell ref="F27:G27"/>
    <mergeCell ref="F28:G28"/>
    <mergeCell ref="F29:G29"/>
    <mergeCell ref="F30:G30"/>
    <mergeCell ref="F31:G31"/>
    <mergeCell ref="E35:G35"/>
    <mergeCell ref="G48:H48"/>
    <mergeCell ref="A37:E37"/>
    <mergeCell ref="F37:H37"/>
    <mergeCell ref="A40:E40"/>
    <mergeCell ref="F40:H40"/>
    <mergeCell ref="A41:E41"/>
    <mergeCell ref="F41:H41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7873" r:id="rId4" name="Check Box 1">
              <controlPr defaultSize="0" autoFill="0" autoLine="0" autoPict="0">
                <anchor moveWithCells="1">
                  <from>
                    <xdr:col>2</xdr:col>
                    <xdr:colOff>133350</xdr:colOff>
                    <xdr:row>4</xdr:row>
                    <xdr:rowOff>66675</xdr:rowOff>
                  </from>
                  <to>
                    <xdr:col>2</xdr:col>
                    <xdr:colOff>371475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74" r:id="rId5" name="Check Box 2">
              <controlPr defaultSize="0" autoFill="0" autoLine="0" autoPict="0">
                <anchor moveWithCells="1">
                  <from>
                    <xdr:col>4</xdr:col>
                    <xdr:colOff>200025</xdr:colOff>
                    <xdr:row>4</xdr:row>
                    <xdr:rowOff>66675</xdr:rowOff>
                  </from>
                  <to>
                    <xdr:col>4</xdr:col>
                    <xdr:colOff>438150</xdr:colOff>
                    <xdr:row>14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5B78-D37C-4359-88FF-73EF267149CB}">
  <sheetPr>
    <pageSetUpPr fitToPage="1"/>
  </sheetPr>
  <dimension ref="A1:E59"/>
  <sheetViews>
    <sheetView topLeftCell="A16" workbookViewId="0">
      <selection activeCell="A38" sqref="A38:E47"/>
    </sheetView>
  </sheetViews>
  <sheetFormatPr defaultRowHeight="15" x14ac:dyDescent="0.25"/>
  <cols>
    <col min="1" max="1" width="11.42578125" style="269" customWidth="1"/>
    <col min="2" max="2" width="29.140625" style="21" customWidth="1"/>
    <col min="3" max="3" width="12.28515625" style="376" customWidth="1"/>
    <col min="4" max="4" width="19.140625" style="351" customWidth="1"/>
    <col min="5" max="5" width="15.85546875" style="351" customWidth="1"/>
  </cols>
  <sheetData>
    <row r="1" spans="1:5" x14ac:dyDescent="0.25">
      <c r="A1" s="239"/>
      <c r="B1" s="241"/>
      <c r="C1" s="242"/>
      <c r="D1" s="350"/>
      <c r="E1" s="380"/>
    </row>
    <row r="2" spans="1:5" x14ac:dyDescent="0.25">
      <c r="A2" s="244"/>
      <c r="B2" s="316"/>
      <c r="C2" s="377"/>
      <c r="D2" s="381"/>
      <c r="E2" s="382"/>
    </row>
    <row r="3" spans="1:5" x14ac:dyDescent="0.25">
      <c r="A3" s="244"/>
      <c r="B3" s="316"/>
      <c r="C3" s="377"/>
      <c r="D3" s="381"/>
      <c r="E3" s="382"/>
    </row>
    <row r="4" spans="1:5" x14ac:dyDescent="0.25">
      <c r="A4" s="244"/>
      <c r="B4" s="316"/>
      <c r="C4" s="377"/>
      <c r="D4" s="381"/>
      <c r="E4" s="382"/>
    </row>
    <row r="5" spans="1:5" x14ac:dyDescent="0.25">
      <c r="A5" s="505" t="s">
        <v>0</v>
      </c>
      <c r="B5" s="530"/>
      <c r="C5" s="530"/>
      <c r="D5" s="530"/>
      <c r="E5" s="507"/>
    </row>
    <row r="6" spans="1:5" x14ac:dyDescent="0.25">
      <c r="A6" s="508" t="s">
        <v>52</v>
      </c>
      <c r="B6" s="531"/>
      <c r="C6" s="531"/>
      <c r="D6" s="531"/>
      <c r="E6" s="510"/>
    </row>
    <row r="7" spans="1:5" x14ac:dyDescent="0.25">
      <c r="A7" s="511" t="s">
        <v>2</v>
      </c>
      <c r="B7" s="512"/>
      <c r="C7" s="512"/>
      <c r="D7" s="512"/>
      <c r="E7" s="513"/>
    </row>
    <row r="8" spans="1:5" x14ac:dyDescent="0.25">
      <c r="A8" s="542" t="s">
        <v>551</v>
      </c>
      <c r="B8" s="543"/>
      <c r="C8" s="543"/>
      <c r="D8" s="543"/>
      <c r="E8" s="544"/>
    </row>
    <row r="9" spans="1:5" ht="26.25" customHeight="1" x14ac:dyDescent="0.25">
      <c r="A9" s="545"/>
      <c r="B9" s="546"/>
      <c r="C9" s="546"/>
      <c r="D9" s="546"/>
      <c r="E9" s="547"/>
    </row>
    <row r="10" spans="1:5" s="252" customFormat="1" ht="36.75" customHeight="1" x14ac:dyDescent="0.25">
      <c r="A10" s="361" t="s">
        <v>224</v>
      </c>
      <c r="B10" s="363" t="s">
        <v>189</v>
      </c>
      <c r="C10" s="362" t="s">
        <v>30</v>
      </c>
      <c r="D10" s="300" t="s">
        <v>393</v>
      </c>
      <c r="E10" s="300" t="s">
        <v>541</v>
      </c>
    </row>
    <row r="11" spans="1:5" x14ac:dyDescent="0.25">
      <c r="A11" s="239">
        <v>46074</v>
      </c>
      <c r="B11" s="241" t="s">
        <v>165</v>
      </c>
      <c r="C11" s="273" t="s">
        <v>544</v>
      </c>
      <c r="D11" s="367">
        <v>504</v>
      </c>
      <c r="E11" s="383"/>
    </row>
    <row r="12" spans="1:5" x14ac:dyDescent="0.25">
      <c r="A12" s="244"/>
      <c r="B12" s="316" t="s">
        <v>165</v>
      </c>
      <c r="C12" s="379" t="s">
        <v>545</v>
      </c>
      <c r="D12" s="381">
        <v>735</v>
      </c>
      <c r="E12" s="384"/>
    </row>
    <row r="13" spans="1:5" x14ac:dyDescent="0.25">
      <c r="A13" s="244"/>
      <c r="B13" s="316" t="s">
        <v>546</v>
      </c>
      <c r="C13" s="379" t="s">
        <v>547</v>
      </c>
      <c r="D13" s="385">
        <v>776</v>
      </c>
      <c r="E13" s="386"/>
    </row>
    <row r="14" spans="1:5" x14ac:dyDescent="0.25">
      <c r="A14" s="244"/>
      <c r="B14" s="387" t="s">
        <v>548</v>
      </c>
      <c r="C14" s="388" t="s">
        <v>549</v>
      </c>
      <c r="D14" s="385"/>
      <c r="E14" s="389">
        <v>500</v>
      </c>
    </row>
    <row r="15" spans="1:5" x14ac:dyDescent="0.25">
      <c r="A15" s="244"/>
      <c r="B15" s="387" t="s">
        <v>548</v>
      </c>
      <c r="C15" s="390" t="s">
        <v>549</v>
      </c>
      <c r="D15" s="385"/>
      <c r="E15" s="386">
        <v>500</v>
      </c>
    </row>
    <row r="16" spans="1:5" ht="29.25" customHeight="1" x14ac:dyDescent="0.25">
      <c r="A16" s="244"/>
      <c r="B16" s="387"/>
      <c r="C16" s="390"/>
      <c r="D16" s="385"/>
      <c r="E16" s="386"/>
    </row>
    <row r="17" spans="1:5" x14ac:dyDescent="0.25">
      <c r="A17" s="244"/>
      <c r="B17" s="316"/>
      <c r="C17" s="391"/>
      <c r="D17" s="392"/>
      <c r="E17" s="393"/>
    </row>
    <row r="18" spans="1:5" x14ac:dyDescent="0.25">
      <c r="A18" s="244"/>
      <c r="B18" s="316"/>
      <c r="C18" s="391"/>
      <c r="D18" s="392"/>
      <c r="E18" s="393"/>
    </row>
    <row r="19" spans="1:5" x14ac:dyDescent="0.25">
      <c r="A19" s="244"/>
      <c r="B19" s="316"/>
      <c r="C19" s="391"/>
      <c r="D19" s="392"/>
      <c r="E19" s="393"/>
    </row>
    <row r="20" spans="1:5" x14ac:dyDescent="0.25">
      <c r="A20" s="244"/>
      <c r="B20" s="316"/>
      <c r="C20" s="391"/>
      <c r="D20" s="392"/>
      <c r="E20" s="393"/>
    </row>
    <row r="21" spans="1:5" x14ac:dyDescent="0.25">
      <c r="A21" s="244"/>
      <c r="B21" s="316"/>
      <c r="C21" s="377"/>
      <c r="D21" s="381"/>
      <c r="E21" s="382"/>
    </row>
    <row r="22" spans="1:5" x14ac:dyDescent="0.25">
      <c r="A22" s="244"/>
      <c r="B22" s="316"/>
      <c r="C22" s="391"/>
      <c r="D22" s="392"/>
      <c r="E22" s="393"/>
    </row>
    <row r="23" spans="1:5" x14ac:dyDescent="0.25">
      <c r="A23" s="244"/>
      <c r="B23" s="316"/>
      <c r="C23" s="391"/>
      <c r="D23" s="392"/>
      <c r="E23" s="393"/>
    </row>
    <row r="24" spans="1:5" x14ac:dyDescent="0.25">
      <c r="A24" s="244"/>
      <c r="B24" s="316"/>
      <c r="C24" s="391"/>
      <c r="D24" s="392"/>
      <c r="E24" s="393"/>
    </row>
    <row r="25" spans="1:5" x14ac:dyDescent="0.25">
      <c r="A25" s="244"/>
      <c r="B25" s="316"/>
      <c r="C25" s="391"/>
      <c r="D25" s="392"/>
      <c r="E25" s="393"/>
    </row>
    <row r="26" spans="1:5" x14ac:dyDescent="0.25">
      <c r="A26" s="244"/>
      <c r="B26" s="316"/>
      <c r="C26" s="391"/>
      <c r="D26" s="392"/>
      <c r="E26" s="393"/>
    </row>
    <row r="27" spans="1:5" x14ac:dyDescent="0.25">
      <c r="A27" s="244"/>
      <c r="B27" s="316"/>
      <c r="C27" s="391"/>
      <c r="D27" s="392"/>
      <c r="E27" s="393"/>
    </row>
    <row r="28" spans="1:5" x14ac:dyDescent="0.25">
      <c r="A28" s="244"/>
      <c r="B28" s="316"/>
      <c r="C28" s="391"/>
      <c r="D28" s="392"/>
      <c r="E28" s="393"/>
    </row>
    <row r="29" spans="1:5" x14ac:dyDescent="0.25">
      <c r="A29" s="244"/>
      <c r="B29" s="316"/>
      <c r="C29" s="391"/>
      <c r="D29" s="392"/>
      <c r="E29" s="393"/>
    </row>
    <row r="30" spans="1:5" x14ac:dyDescent="0.25">
      <c r="A30" s="244"/>
      <c r="B30" s="316"/>
      <c r="C30" s="391"/>
      <c r="D30" s="392"/>
      <c r="E30" s="393"/>
    </row>
    <row r="31" spans="1:5" x14ac:dyDescent="0.25">
      <c r="A31" s="244"/>
      <c r="B31" s="316"/>
      <c r="C31" s="391"/>
      <c r="D31" s="392"/>
      <c r="E31" s="393"/>
    </row>
    <row r="32" spans="1:5" x14ac:dyDescent="0.25">
      <c r="A32" s="244"/>
      <c r="B32" s="316"/>
      <c r="C32" s="391"/>
      <c r="D32" s="354"/>
      <c r="E32" s="394"/>
    </row>
    <row r="33" spans="1:5" x14ac:dyDescent="0.25">
      <c r="A33" s="244"/>
      <c r="B33" s="316"/>
      <c r="C33" s="391"/>
      <c r="D33" s="372">
        <f>SUM(D11:D16)</f>
        <v>2015</v>
      </c>
      <c r="E33" s="373">
        <f>SUM(E11:E16)</f>
        <v>1000</v>
      </c>
    </row>
    <row r="34" spans="1:5" ht="16.5" thickBot="1" x14ac:dyDescent="0.3">
      <c r="A34" s="244"/>
      <c r="B34" s="316"/>
      <c r="C34" s="395" t="s">
        <v>32</v>
      </c>
      <c r="D34" s="365">
        <f>SUM(D33:E33)</f>
        <v>3015</v>
      </c>
      <c r="E34" s="396"/>
    </row>
    <row r="35" spans="1:5" ht="16.5" thickTop="1" x14ac:dyDescent="0.25">
      <c r="A35" s="244"/>
      <c r="B35" s="316"/>
      <c r="C35" s="395"/>
      <c r="D35" s="366"/>
      <c r="E35" s="396"/>
    </row>
    <row r="36" spans="1:5" x14ac:dyDescent="0.25">
      <c r="A36" s="244"/>
      <c r="B36" s="316"/>
      <c r="C36" s="377"/>
      <c r="D36" s="381"/>
      <c r="E36" s="382"/>
    </row>
    <row r="37" spans="1:5" x14ac:dyDescent="0.25">
      <c r="A37" s="259"/>
      <c r="B37" s="261"/>
      <c r="C37" s="262"/>
      <c r="D37" s="354"/>
      <c r="E37" s="394"/>
    </row>
    <row r="38" spans="1:5" ht="15.75" x14ac:dyDescent="0.25">
      <c r="A38" s="264" t="s">
        <v>12</v>
      </c>
      <c r="B38" s="201"/>
      <c r="C38" s="266" t="s">
        <v>260</v>
      </c>
      <c r="D38" s="355"/>
      <c r="E38" s="397"/>
    </row>
    <row r="39" spans="1:5" ht="15.75" x14ac:dyDescent="0.25">
      <c r="A39" s="267"/>
      <c r="B39" s="275"/>
      <c r="C39" s="275"/>
      <c r="D39" s="51"/>
      <c r="E39" s="398"/>
    </row>
    <row r="40" spans="1:5" ht="15.75" x14ac:dyDescent="0.25">
      <c r="A40" s="267"/>
      <c r="B40" s="275"/>
      <c r="C40" s="275"/>
      <c r="D40" s="51"/>
      <c r="E40" s="398"/>
    </row>
    <row r="41" spans="1:5" x14ac:dyDescent="0.25">
      <c r="A41" s="520" t="s">
        <v>15</v>
      </c>
      <c r="B41" s="548"/>
      <c r="C41" s="528" t="s">
        <v>5</v>
      </c>
      <c r="D41" s="528"/>
      <c r="E41" s="489"/>
    </row>
    <row r="42" spans="1:5" x14ac:dyDescent="0.25">
      <c r="A42" s="503" t="s">
        <v>17</v>
      </c>
      <c r="B42" s="504"/>
      <c r="C42" s="455" t="s">
        <v>18</v>
      </c>
      <c r="D42" s="455"/>
      <c r="E42" s="456"/>
    </row>
    <row r="43" spans="1:5" x14ac:dyDescent="0.25">
      <c r="A43" s="497" t="s">
        <v>261</v>
      </c>
      <c r="B43" s="495"/>
      <c r="C43" s="495"/>
      <c r="D43" s="495"/>
      <c r="E43" s="496"/>
    </row>
    <row r="44" spans="1:5" ht="15.75" x14ac:dyDescent="0.25">
      <c r="A44" s="267"/>
      <c r="B44" s="275"/>
      <c r="C44" s="275"/>
      <c r="D44" s="51"/>
      <c r="E44" s="398"/>
    </row>
    <row r="45" spans="1:5" ht="15.75" x14ac:dyDescent="0.25">
      <c r="A45" s="267"/>
      <c r="B45" s="275"/>
      <c r="C45" s="275"/>
      <c r="D45" s="51"/>
      <c r="E45" s="398"/>
    </row>
    <row r="46" spans="1:5" x14ac:dyDescent="0.25">
      <c r="A46" s="490" t="s">
        <v>22</v>
      </c>
      <c r="B46" s="529"/>
      <c r="C46" s="529"/>
      <c r="D46" s="529"/>
      <c r="E46" s="492"/>
    </row>
    <row r="47" spans="1:5" x14ac:dyDescent="0.25">
      <c r="A47" s="454" t="s">
        <v>24</v>
      </c>
      <c r="B47" s="455"/>
      <c r="C47" s="455"/>
      <c r="D47" s="455"/>
      <c r="E47" s="456"/>
    </row>
    <row r="52" spans="2:5" x14ac:dyDescent="0.25">
      <c r="B52" s="501"/>
      <c r="C52" s="501"/>
      <c r="D52" s="356"/>
      <c r="E52" s="356"/>
    </row>
    <row r="53" spans="2:5" x14ac:dyDescent="0.25">
      <c r="B53" s="500"/>
      <c r="C53" s="500"/>
      <c r="D53" s="352"/>
      <c r="E53" s="352"/>
    </row>
    <row r="54" spans="2:5" x14ac:dyDescent="0.25">
      <c r="B54" s="375"/>
      <c r="C54" s="253"/>
      <c r="D54" s="352"/>
      <c r="E54" s="352"/>
    </row>
    <row r="58" spans="2:5" x14ac:dyDescent="0.25">
      <c r="B58" s="501"/>
      <c r="C58" s="501"/>
      <c r="D58" s="356"/>
      <c r="E58" s="356"/>
    </row>
    <row r="59" spans="2:5" x14ac:dyDescent="0.25">
      <c r="B59" s="502"/>
      <c r="C59" s="502"/>
    </row>
  </sheetData>
  <mergeCells count="15">
    <mergeCell ref="A5:E5"/>
    <mergeCell ref="A6:E6"/>
    <mergeCell ref="A7:E7"/>
    <mergeCell ref="A8:E9"/>
    <mergeCell ref="A41:B41"/>
    <mergeCell ref="C41:E41"/>
    <mergeCell ref="B53:C53"/>
    <mergeCell ref="B58:C58"/>
    <mergeCell ref="B59:C59"/>
    <mergeCell ref="A42:B42"/>
    <mergeCell ref="C42:E42"/>
    <mergeCell ref="A43:E43"/>
    <mergeCell ref="A46:E46"/>
    <mergeCell ref="A47:E47"/>
    <mergeCell ref="B52:C52"/>
  </mergeCells>
  <phoneticPr fontId="38" type="noConversion"/>
  <pageMargins left="0.7" right="0.7" top="0.75" bottom="0.75" header="0.3" footer="0.3"/>
  <pageSetup paperSize="9" scale="99" fitToHeight="0" orientation="portrait" horizontalDpi="0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B29A-CA7E-4CC2-8618-AAD4E059A97D}">
  <dimension ref="A1:J49"/>
  <sheetViews>
    <sheetView workbookViewId="0">
      <selection activeCell="J19" sqref="J19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4" width="8.140625" style="41" customWidth="1"/>
    <col min="5" max="5" width="7.7109375" style="41" customWidth="1"/>
    <col min="6" max="6" width="11" style="41" customWidth="1"/>
    <col min="7" max="7" width="13.42578125" style="41" customWidth="1"/>
    <col min="8" max="8" width="25.4257812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B2" s="275"/>
      <c r="C2" s="275"/>
      <c r="D2" s="275"/>
      <c r="E2" s="275"/>
      <c r="F2" s="275"/>
      <c r="G2" s="275"/>
      <c r="H2" s="188"/>
    </row>
    <row r="3" spans="1:9" x14ac:dyDescent="0.2">
      <c r="A3" s="187"/>
      <c r="B3" s="275"/>
      <c r="C3" s="275"/>
      <c r="D3" s="275"/>
      <c r="E3" s="275"/>
      <c r="F3" s="275"/>
      <c r="G3" s="275"/>
      <c r="H3" s="188"/>
    </row>
    <row r="4" spans="1:9" x14ac:dyDescent="0.2">
      <c r="A4" s="187"/>
      <c r="B4" s="275"/>
      <c r="C4" s="275"/>
      <c r="D4" s="286"/>
      <c r="E4" s="286"/>
      <c r="F4" s="286"/>
      <c r="G4" s="286"/>
      <c r="H4" s="189"/>
      <c r="I4" s="128"/>
    </row>
    <row r="5" spans="1:9" ht="15.75" customHeight="1" x14ac:dyDescent="0.2">
      <c r="A5" s="449" t="s">
        <v>0</v>
      </c>
      <c r="B5" s="522"/>
      <c r="C5" s="522"/>
      <c r="D5" s="522"/>
      <c r="E5" s="522"/>
      <c r="F5" s="522"/>
      <c r="G5" s="522"/>
      <c r="H5" s="450"/>
      <c r="I5" s="70"/>
    </row>
    <row r="6" spans="1:9" ht="15.75" customHeight="1" x14ac:dyDescent="0.2">
      <c r="A6" s="451" t="s">
        <v>1</v>
      </c>
      <c r="B6" s="523"/>
      <c r="C6" s="523"/>
      <c r="D6" s="523"/>
      <c r="E6" s="523"/>
      <c r="F6" s="523"/>
      <c r="G6" s="523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560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46078</v>
      </c>
      <c r="I10" s="215"/>
    </row>
    <row r="11" spans="1:9" ht="15.75" x14ac:dyDescent="0.25">
      <c r="A11" s="470" t="s">
        <v>187</v>
      </c>
      <c r="B11" s="471"/>
      <c r="C11" s="474" t="s">
        <v>5</v>
      </c>
      <c r="D11" s="474"/>
      <c r="E11" s="474"/>
      <c r="F11" s="464"/>
      <c r="G11" s="447" t="s">
        <v>188</v>
      </c>
      <c r="H11" s="234" t="s">
        <v>216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217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187"/>
      <c r="B15" s="275"/>
      <c r="C15" s="275"/>
      <c r="D15" s="275"/>
      <c r="E15" s="275"/>
      <c r="F15" s="221"/>
      <c r="G15" s="187"/>
      <c r="H15" s="188"/>
    </row>
    <row r="16" spans="1:9" x14ac:dyDescent="0.2">
      <c r="A16" s="222" t="s">
        <v>561</v>
      </c>
      <c r="B16" s="220"/>
      <c r="C16" s="220"/>
      <c r="D16" s="220"/>
      <c r="E16" s="220"/>
      <c r="F16" s="221"/>
      <c r="G16" s="187"/>
      <c r="H16" s="188"/>
    </row>
    <row r="17" spans="1:10" ht="15.75" x14ac:dyDescent="0.2">
      <c r="A17" s="218" t="s">
        <v>562</v>
      </c>
      <c r="B17" s="220"/>
      <c r="C17" s="220"/>
      <c r="D17" s="220"/>
      <c r="E17" s="220"/>
      <c r="F17" s="219"/>
      <c r="G17" s="224"/>
      <c r="H17" s="225">
        <v>106100</v>
      </c>
    </row>
    <row r="18" spans="1:10" x14ac:dyDescent="0.2">
      <c r="A18" s="218" t="s">
        <v>563</v>
      </c>
      <c r="B18" s="287"/>
      <c r="C18" s="287"/>
      <c r="D18" s="287"/>
      <c r="E18" s="287"/>
      <c r="F18" s="331"/>
      <c r="G18" s="187"/>
      <c r="H18" s="188"/>
    </row>
    <row r="19" spans="1:10" x14ac:dyDescent="0.2">
      <c r="A19" s="218"/>
      <c r="B19" s="275"/>
      <c r="C19" s="275"/>
      <c r="D19" s="275"/>
      <c r="E19" s="275"/>
      <c r="F19" s="339"/>
      <c r="G19" s="187"/>
      <c r="H19" s="188"/>
    </row>
    <row r="20" spans="1:10" x14ac:dyDescent="0.2">
      <c r="A20" s="218"/>
      <c r="B20" s="275"/>
      <c r="C20" s="275"/>
      <c r="D20" s="275"/>
      <c r="E20" s="275"/>
      <c r="F20" s="340"/>
      <c r="G20" s="187"/>
      <c r="H20" s="188"/>
    </row>
    <row r="21" spans="1:10" x14ac:dyDescent="0.2">
      <c r="A21" s="272"/>
      <c r="B21" s="275"/>
      <c r="C21" s="275"/>
      <c r="D21" s="275"/>
      <c r="E21" s="275"/>
      <c r="F21" s="188"/>
      <c r="G21" s="187"/>
      <c r="H21" s="188"/>
    </row>
    <row r="22" spans="1:10" x14ac:dyDescent="0.2">
      <c r="A22" s="272"/>
      <c r="B22" s="275"/>
      <c r="C22" s="275"/>
      <c r="D22" s="275"/>
      <c r="E22" s="275"/>
      <c r="F22" s="188"/>
      <c r="G22" s="187"/>
      <c r="H22" s="188"/>
    </row>
    <row r="23" spans="1:10" x14ac:dyDescent="0.2">
      <c r="A23" s="192"/>
      <c r="B23" s="193"/>
      <c r="C23" s="193"/>
      <c r="D23" s="193"/>
      <c r="E23" s="193"/>
      <c r="F23" s="194"/>
      <c r="G23" s="192"/>
      <c r="H23" s="194"/>
    </row>
    <row r="24" spans="1:10" x14ac:dyDescent="0.2">
      <c r="A24" s="192"/>
      <c r="B24" s="193"/>
      <c r="C24" s="193"/>
      <c r="D24" s="193"/>
      <c r="E24" s="193"/>
      <c r="F24" s="193"/>
      <c r="G24" s="193"/>
      <c r="H24" s="194"/>
    </row>
    <row r="25" spans="1:10" ht="15.75" x14ac:dyDescent="0.25">
      <c r="A25" s="477" t="s">
        <v>191</v>
      </c>
      <c r="B25" s="481"/>
      <c r="C25" s="481"/>
      <c r="D25" s="481"/>
      <c r="E25" s="480"/>
      <c r="F25" s="482" t="s">
        <v>192</v>
      </c>
      <c r="G25" s="483"/>
      <c r="H25" s="195" t="s">
        <v>193</v>
      </c>
    </row>
    <row r="26" spans="1:10" x14ac:dyDescent="0.2">
      <c r="A26" s="226" t="s">
        <v>314</v>
      </c>
      <c r="B26" s="197"/>
      <c r="C26" s="197"/>
      <c r="D26" s="197"/>
      <c r="E26" s="197"/>
      <c r="F26" s="484">
        <v>106100</v>
      </c>
      <c r="G26" s="484"/>
      <c r="H26" s="378"/>
      <c r="J26" s="41" t="s">
        <v>196</v>
      </c>
    </row>
    <row r="27" spans="1:10" x14ac:dyDescent="0.2">
      <c r="A27" s="226"/>
      <c r="B27" s="287" t="s">
        <v>11</v>
      </c>
      <c r="C27" s="197"/>
      <c r="D27" s="197"/>
      <c r="E27" s="197"/>
      <c r="F27" s="484"/>
      <c r="G27" s="484"/>
      <c r="H27" s="230">
        <f>SUM(F26)</f>
        <v>106100</v>
      </c>
    </row>
    <row r="28" spans="1:10" x14ac:dyDescent="0.2">
      <c r="A28" s="226"/>
      <c r="B28" s="197"/>
      <c r="C28" s="197"/>
      <c r="D28" s="197"/>
      <c r="E28" s="197"/>
      <c r="F28" s="484"/>
      <c r="G28" s="484"/>
      <c r="H28" s="227"/>
    </row>
    <row r="29" spans="1:10" x14ac:dyDescent="0.2">
      <c r="A29" s="226"/>
      <c r="B29" s="275"/>
      <c r="C29" s="197"/>
      <c r="D29" s="197"/>
      <c r="E29" s="197"/>
      <c r="F29" s="484"/>
      <c r="G29" s="484"/>
      <c r="H29" s="227"/>
    </row>
    <row r="30" spans="1:10" x14ac:dyDescent="0.2">
      <c r="A30" s="196"/>
      <c r="B30" s="231"/>
      <c r="C30" s="197"/>
      <c r="D30" s="197"/>
      <c r="E30" s="199"/>
      <c r="F30" s="486"/>
      <c r="G30" s="486"/>
      <c r="H30" s="294"/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315</v>
      </c>
      <c r="F32" s="201"/>
      <c r="G32" s="202"/>
      <c r="H32" s="203" t="s">
        <v>14</v>
      </c>
    </row>
    <row r="33" spans="1:8" x14ac:dyDescent="0.2">
      <c r="A33" s="187"/>
      <c r="B33" s="275"/>
      <c r="C33" s="275"/>
      <c r="D33" s="188"/>
      <c r="E33" s="187"/>
      <c r="F33" s="275"/>
      <c r="G33" s="188"/>
      <c r="H33" s="204"/>
    </row>
    <row r="34" spans="1:8" x14ac:dyDescent="0.2">
      <c r="A34" s="187"/>
      <c r="B34" s="275"/>
      <c r="C34" s="275"/>
      <c r="D34" s="188"/>
      <c r="E34" s="187"/>
      <c r="F34" s="275"/>
      <c r="G34" s="188"/>
      <c r="H34" s="204"/>
    </row>
    <row r="35" spans="1:8" x14ac:dyDescent="0.2">
      <c r="A35" s="232" t="s">
        <v>15</v>
      </c>
      <c r="B35" s="323"/>
      <c r="C35" s="323"/>
      <c r="D35" s="206"/>
      <c r="E35" s="487" t="s">
        <v>5</v>
      </c>
      <c r="F35" s="52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B38" s="275"/>
      <c r="C38" s="275"/>
      <c r="D38" s="275"/>
      <c r="E38" s="275"/>
      <c r="F38" s="275"/>
      <c r="G38" s="275"/>
      <c r="H38" s="188"/>
    </row>
    <row r="39" spans="1:8" x14ac:dyDescent="0.2">
      <c r="A39" s="187"/>
      <c r="B39" s="275"/>
      <c r="C39" s="275"/>
      <c r="D39" s="275"/>
      <c r="E39" s="275"/>
      <c r="F39" s="275"/>
      <c r="G39" s="275"/>
      <c r="H39" s="188"/>
    </row>
    <row r="40" spans="1:8" ht="15.75" customHeight="1" x14ac:dyDescent="0.2">
      <c r="A40" s="490" t="s">
        <v>21</v>
      </c>
      <c r="B40" s="529"/>
      <c r="C40" s="529"/>
      <c r="D40" s="529"/>
      <c r="E40" s="529"/>
      <c r="F40" s="529" t="s">
        <v>22</v>
      </c>
      <c r="G40" s="529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567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237" t="s">
        <v>568</v>
      </c>
      <c r="B43" s="275"/>
      <c r="C43" s="275"/>
      <c r="D43" s="275"/>
      <c r="E43" s="275"/>
      <c r="F43" s="275"/>
      <c r="G43" s="324" t="s">
        <v>195</v>
      </c>
      <c r="H43" s="238"/>
    </row>
    <row r="44" spans="1:8" x14ac:dyDescent="0.2">
      <c r="A44" s="210"/>
      <c r="B44" s="275"/>
      <c r="C44" s="275"/>
      <c r="D44" s="275"/>
      <c r="E44" s="275"/>
      <c r="F44" s="275"/>
      <c r="G44" s="324" t="s">
        <v>186</v>
      </c>
      <c r="H44" s="188"/>
    </row>
    <row r="45" spans="1:8" x14ac:dyDescent="0.2">
      <c r="A45" s="187"/>
      <c r="B45" s="275"/>
      <c r="C45" s="275"/>
      <c r="D45" s="275"/>
      <c r="E45" s="275"/>
      <c r="F45" s="275"/>
      <c r="G45" s="275"/>
      <c r="H45" s="188"/>
    </row>
    <row r="46" spans="1:8" x14ac:dyDescent="0.2">
      <c r="A46" s="187"/>
      <c r="B46" s="275"/>
      <c r="C46" s="275"/>
      <c r="D46" s="275"/>
      <c r="E46" s="275"/>
      <c r="F46" s="275"/>
      <c r="G46" s="275"/>
      <c r="H46" s="188"/>
    </row>
    <row r="47" spans="1:8" ht="15.75" thickBot="1" x14ac:dyDescent="0.25">
      <c r="A47" s="187"/>
      <c r="B47" s="275"/>
      <c r="C47" s="275"/>
      <c r="D47" s="275"/>
      <c r="E47" s="275"/>
      <c r="F47" s="275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2">
    <mergeCell ref="G48:H48"/>
    <mergeCell ref="A37:E37"/>
    <mergeCell ref="F37:H37"/>
    <mergeCell ref="A40:E40"/>
    <mergeCell ref="F40:H40"/>
    <mergeCell ref="A41:E41"/>
    <mergeCell ref="F41:H41"/>
    <mergeCell ref="A36:D36"/>
    <mergeCell ref="E36:G36"/>
    <mergeCell ref="A13:F13"/>
    <mergeCell ref="G13:H13"/>
    <mergeCell ref="A25:E25"/>
    <mergeCell ref="F25:G25"/>
    <mergeCell ref="F26:G26"/>
    <mergeCell ref="F27:G27"/>
    <mergeCell ref="F28:G28"/>
    <mergeCell ref="F29:G29"/>
    <mergeCell ref="F30:G30"/>
    <mergeCell ref="F31:G31"/>
    <mergeCell ref="E35:G35"/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9921" r:id="rId4" name="Check Box 1">
              <controlPr defaultSize="0" autoFill="0" autoLine="0" autoPict="0">
                <anchor moveWithCells="1">
                  <from>
                    <xdr:col>2</xdr:col>
                    <xdr:colOff>104775</xdr:colOff>
                    <xdr:row>2</xdr:row>
                    <xdr:rowOff>47625</xdr:rowOff>
                  </from>
                  <to>
                    <xdr:col>2</xdr:col>
                    <xdr:colOff>342900</xdr:colOff>
                    <xdr:row>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22" r:id="rId5" name="Check Box 2">
              <controlPr defaultSize="0" autoFill="0" autoLine="0" autoPict="0">
                <anchor moveWithCells="1">
                  <from>
                    <xdr:col>4</xdr:col>
                    <xdr:colOff>190500</xdr:colOff>
                    <xdr:row>2</xdr:row>
                    <xdr:rowOff>57150</xdr:rowOff>
                  </from>
                  <to>
                    <xdr:col>4</xdr:col>
                    <xdr:colOff>428625</xdr:colOff>
                    <xdr:row>16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A321C-3A28-4DA6-B2AE-737602E104FB}">
  <dimension ref="A1:J49"/>
  <sheetViews>
    <sheetView workbookViewId="0">
      <selection activeCell="H20" sqref="H20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1" style="41" customWidth="1"/>
    <col min="7" max="7" width="13.42578125" style="41" customWidth="1"/>
    <col min="8" max="8" width="24.8554687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B2" s="275"/>
      <c r="C2" s="275"/>
      <c r="D2" s="275"/>
      <c r="E2" s="275"/>
      <c r="F2" s="275"/>
      <c r="G2" s="275"/>
      <c r="H2" s="188"/>
    </row>
    <row r="3" spans="1:9" x14ac:dyDescent="0.2">
      <c r="A3" s="187"/>
      <c r="B3" s="275"/>
      <c r="C3" s="275"/>
      <c r="D3" s="275"/>
      <c r="E3" s="275"/>
      <c r="F3" s="275"/>
      <c r="G3" s="275"/>
      <c r="H3" s="188"/>
    </row>
    <row r="4" spans="1:9" x14ac:dyDescent="0.2">
      <c r="A4" s="187"/>
      <c r="B4" s="275"/>
      <c r="C4" s="275"/>
      <c r="D4" s="286"/>
      <c r="E4" s="286"/>
      <c r="F4" s="286"/>
      <c r="G4" s="286"/>
      <c r="H4" s="189"/>
      <c r="I4" s="128"/>
    </row>
    <row r="5" spans="1:9" ht="15.75" customHeight="1" x14ac:dyDescent="0.2">
      <c r="A5" s="449" t="s">
        <v>0</v>
      </c>
      <c r="B5" s="522"/>
      <c r="C5" s="522"/>
      <c r="D5" s="522"/>
      <c r="E5" s="522"/>
      <c r="F5" s="522"/>
      <c r="G5" s="522"/>
      <c r="H5" s="450"/>
      <c r="I5" s="70"/>
    </row>
    <row r="6" spans="1:9" ht="15.75" customHeight="1" x14ac:dyDescent="0.2">
      <c r="A6" s="451" t="s">
        <v>1</v>
      </c>
      <c r="B6" s="523"/>
      <c r="C6" s="523"/>
      <c r="D6" s="523"/>
      <c r="E6" s="523"/>
      <c r="F6" s="523"/>
      <c r="G6" s="523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564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46078</v>
      </c>
      <c r="I10" s="215"/>
    </row>
    <row r="11" spans="1:9" ht="15.75" x14ac:dyDescent="0.25">
      <c r="A11" s="470" t="s">
        <v>187</v>
      </c>
      <c r="B11" s="471"/>
      <c r="C11" s="474" t="s">
        <v>5</v>
      </c>
      <c r="D11" s="474"/>
      <c r="E11" s="474"/>
      <c r="F11" s="464"/>
      <c r="G11" s="447" t="s">
        <v>188</v>
      </c>
      <c r="H11" s="234" t="s">
        <v>216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217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187"/>
      <c r="B15" s="275"/>
      <c r="C15" s="275"/>
      <c r="D15" s="275"/>
      <c r="E15" s="275"/>
      <c r="F15" s="221"/>
      <c r="G15" s="187"/>
      <c r="H15" s="188"/>
    </row>
    <row r="16" spans="1:9" x14ac:dyDescent="0.2">
      <c r="A16" s="222" t="s">
        <v>565</v>
      </c>
      <c r="B16" s="220"/>
      <c r="C16" s="220"/>
      <c r="D16" s="220"/>
      <c r="E16" s="220"/>
      <c r="F16" s="221"/>
      <c r="G16" s="187"/>
      <c r="H16" s="188"/>
    </row>
    <row r="17" spans="1:10" ht="15.75" x14ac:dyDescent="0.2">
      <c r="A17" s="218" t="s">
        <v>566</v>
      </c>
      <c r="B17" s="220"/>
      <c r="C17" s="220"/>
      <c r="D17" s="220"/>
      <c r="E17" s="220"/>
      <c r="F17" s="219"/>
      <c r="G17" s="224"/>
      <c r="H17" s="225">
        <v>7000</v>
      </c>
    </row>
    <row r="18" spans="1:10" x14ac:dyDescent="0.2">
      <c r="A18" s="218" t="s">
        <v>478</v>
      </c>
      <c r="B18" s="287"/>
      <c r="C18" s="287"/>
      <c r="D18" s="287"/>
      <c r="E18" s="287"/>
      <c r="F18" s="331"/>
      <c r="G18" s="187"/>
      <c r="H18" s="188"/>
    </row>
    <row r="19" spans="1:10" x14ac:dyDescent="0.2">
      <c r="A19" s="218"/>
      <c r="B19" s="275"/>
      <c r="C19" s="275"/>
      <c r="D19" s="275"/>
      <c r="E19" s="275"/>
      <c r="F19" s="339"/>
      <c r="G19" s="187"/>
      <c r="H19" s="188"/>
    </row>
    <row r="20" spans="1:10" x14ac:dyDescent="0.2">
      <c r="A20" s="218"/>
      <c r="B20" s="275"/>
      <c r="C20" s="275"/>
      <c r="D20" s="275"/>
      <c r="E20" s="275"/>
      <c r="F20" s="340"/>
      <c r="G20" s="187"/>
      <c r="H20" s="188"/>
    </row>
    <row r="21" spans="1:10" x14ac:dyDescent="0.2">
      <c r="A21" s="272"/>
      <c r="B21" s="275"/>
      <c r="C21" s="275"/>
      <c r="D21" s="275"/>
      <c r="E21" s="275"/>
      <c r="F21" s="188"/>
      <c r="G21" s="187"/>
      <c r="H21" s="188"/>
    </row>
    <row r="22" spans="1:10" x14ac:dyDescent="0.2">
      <c r="A22" s="272"/>
      <c r="B22" s="275"/>
      <c r="C22" s="275"/>
      <c r="D22" s="275"/>
      <c r="E22" s="275"/>
      <c r="F22" s="188"/>
      <c r="G22" s="187"/>
      <c r="H22" s="188"/>
    </row>
    <row r="23" spans="1:10" x14ac:dyDescent="0.2">
      <c r="A23" s="192"/>
      <c r="B23" s="193"/>
      <c r="C23" s="193"/>
      <c r="D23" s="193"/>
      <c r="E23" s="193"/>
      <c r="F23" s="194"/>
      <c r="G23" s="192"/>
      <c r="H23" s="194"/>
    </row>
    <row r="24" spans="1:10" x14ac:dyDescent="0.2">
      <c r="A24" s="192"/>
      <c r="B24" s="193"/>
      <c r="C24" s="193"/>
      <c r="D24" s="193"/>
      <c r="E24" s="193"/>
      <c r="F24" s="193"/>
      <c r="G24" s="193"/>
      <c r="H24" s="194"/>
    </row>
    <row r="25" spans="1:10" ht="15.75" x14ac:dyDescent="0.25">
      <c r="A25" s="477" t="s">
        <v>191</v>
      </c>
      <c r="B25" s="481"/>
      <c r="C25" s="481"/>
      <c r="D25" s="481"/>
      <c r="E25" s="480"/>
      <c r="F25" s="482" t="s">
        <v>192</v>
      </c>
      <c r="G25" s="483"/>
      <c r="H25" s="195" t="s">
        <v>193</v>
      </c>
    </row>
    <row r="26" spans="1:10" x14ac:dyDescent="0.2">
      <c r="A26" s="226" t="s">
        <v>314</v>
      </c>
      <c r="B26" s="197"/>
      <c r="C26" s="197"/>
      <c r="D26" s="197"/>
      <c r="E26" s="197"/>
      <c r="F26" s="484">
        <v>7000</v>
      </c>
      <c r="G26" s="484"/>
      <c r="H26" s="378"/>
      <c r="J26" s="41" t="s">
        <v>196</v>
      </c>
    </row>
    <row r="27" spans="1:10" x14ac:dyDescent="0.2">
      <c r="A27" s="226"/>
      <c r="B27" s="287" t="s">
        <v>11</v>
      </c>
      <c r="C27" s="197"/>
      <c r="D27" s="197"/>
      <c r="E27" s="197"/>
      <c r="F27" s="484"/>
      <c r="G27" s="484"/>
      <c r="H27" s="230">
        <f>SUM(F26)</f>
        <v>7000</v>
      </c>
    </row>
    <row r="28" spans="1:10" x14ac:dyDescent="0.2">
      <c r="A28" s="226"/>
      <c r="B28" s="197"/>
      <c r="C28" s="197"/>
      <c r="D28" s="197"/>
      <c r="E28" s="197"/>
      <c r="F28" s="484"/>
      <c r="G28" s="484"/>
      <c r="H28" s="227"/>
    </row>
    <row r="29" spans="1:10" x14ac:dyDescent="0.2">
      <c r="A29" s="226"/>
      <c r="B29" s="275"/>
      <c r="C29" s="197"/>
      <c r="D29" s="197"/>
      <c r="E29" s="197"/>
      <c r="F29" s="484"/>
      <c r="G29" s="484"/>
      <c r="H29" s="227"/>
    </row>
    <row r="30" spans="1:10" x14ac:dyDescent="0.2">
      <c r="A30" s="196"/>
      <c r="B30" s="231"/>
      <c r="C30" s="197"/>
      <c r="D30" s="197"/>
      <c r="E30" s="199"/>
      <c r="F30" s="486"/>
      <c r="G30" s="486"/>
      <c r="H30" s="294"/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315</v>
      </c>
      <c r="F32" s="201"/>
      <c r="G32" s="202"/>
      <c r="H32" s="203" t="s">
        <v>14</v>
      </c>
    </row>
    <row r="33" spans="1:8" x14ac:dyDescent="0.2">
      <c r="A33" s="187"/>
      <c r="B33" s="275"/>
      <c r="C33" s="275"/>
      <c r="D33" s="188"/>
      <c r="E33" s="187"/>
      <c r="F33" s="275"/>
      <c r="G33" s="188"/>
      <c r="H33" s="204"/>
    </row>
    <row r="34" spans="1:8" x14ac:dyDescent="0.2">
      <c r="A34" s="187"/>
      <c r="B34" s="275"/>
      <c r="C34" s="275"/>
      <c r="D34" s="188"/>
      <c r="E34" s="187"/>
      <c r="F34" s="275"/>
      <c r="G34" s="188"/>
      <c r="H34" s="204"/>
    </row>
    <row r="35" spans="1:8" x14ac:dyDescent="0.2">
      <c r="A35" s="232" t="s">
        <v>15</v>
      </c>
      <c r="B35" s="323"/>
      <c r="C35" s="323"/>
      <c r="D35" s="206"/>
      <c r="E35" s="487" t="s">
        <v>5</v>
      </c>
      <c r="F35" s="52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B38" s="275"/>
      <c r="C38" s="275"/>
      <c r="D38" s="275"/>
      <c r="E38" s="275"/>
      <c r="F38" s="275"/>
      <c r="G38" s="275"/>
      <c r="H38" s="188"/>
    </row>
    <row r="39" spans="1:8" x14ac:dyDescent="0.2">
      <c r="A39" s="187"/>
      <c r="B39" s="275"/>
      <c r="C39" s="275"/>
      <c r="D39" s="275"/>
      <c r="E39" s="275"/>
      <c r="F39" s="275"/>
      <c r="G39" s="275"/>
      <c r="H39" s="188"/>
    </row>
    <row r="40" spans="1:8" ht="15.75" customHeight="1" x14ac:dyDescent="0.2">
      <c r="A40" s="490" t="s">
        <v>21</v>
      </c>
      <c r="B40" s="529"/>
      <c r="C40" s="529"/>
      <c r="D40" s="529"/>
      <c r="E40" s="529"/>
      <c r="F40" s="529" t="s">
        <v>22</v>
      </c>
      <c r="G40" s="529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316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237" t="s">
        <v>317</v>
      </c>
      <c r="B43" s="275"/>
      <c r="C43" s="275"/>
      <c r="D43" s="275"/>
      <c r="E43" s="275"/>
      <c r="F43" s="275"/>
      <c r="G43" s="324" t="s">
        <v>195</v>
      </c>
      <c r="H43" s="238"/>
    </row>
    <row r="44" spans="1:8" x14ac:dyDescent="0.2">
      <c r="A44" s="210"/>
      <c r="B44" s="275"/>
      <c r="C44" s="275"/>
      <c r="D44" s="275"/>
      <c r="E44" s="275"/>
      <c r="F44" s="275"/>
      <c r="G44" s="324" t="s">
        <v>186</v>
      </c>
      <c r="H44" s="188"/>
    </row>
    <row r="45" spans="1:8" x14ac:dyDescent="0.2">
      <c r="A45" s="187"/>
      <c r="B45" s="275"/>
      <c r="C45" s="275"/>
      <c r="D45" s="275"/>
      <c r="E45" s="275"/>
      <c r="F45" s="275"/>
      <c r="G45" s="275"/>
      <c r="H45" s="188"/>
    </row>
    <row r="46" spans="1:8" x14ac:dyDescent="0.2">
      <c r="A46" s="187"/>
      <c r="B46" s="275"/>
      <c r="C46" s="275"/>
      <c r="D46" s="275"/>
      <c r="E46" s="275"/>
      <c r="F46" s="275"/>
      <c r="G46" s="275"/>
      <c r="H46" s="188"/>
    </row>
    <row r="47" spans="1:8" ht="15.75" thickBot="1" x14ac:dyDescent="0.25">
      <c r="A47" s="187"/>
      <c r="B47" s="275"/>
      <c r="C47" s="275"/>
      <c r="D47" s="275"/>
      <c r="E47" s="275"/>
      <c r="F47" s="275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2">
    <mergeCell ref="G48:H48"/>
    <mergeCell ref="A37:E37"/>
    <mergeCell ref="F37:H37"/>
    <mergeCell ref="A40:E40"/>
    <mergeCell ref="F40:H40"/>
    <mergeCell ref="A41:E41"/>
    <mergeCell ref="F41:H41"/>
    <mergeCell ref="A36:D36"/>
    <mergeCell ref="E36:G36"/>
    <mergeCell ref="A13:F13"/>
    <mergeCell ref="G13:H13"/>
    <mergeCell ref="A25:E25"/>
    <mergeCell ref="F25:G25"/>
    <mergeCell ref="F26:G26"/>
    <mergeCell ref="F27:G27"/>
    <mergeCell ref="F28:G28"/>
    <mergeCell ref="F29:G29"/>
    <mergeCell ref="F30:G30"/>
    <mergeCell ref="F31:G31"/>
    <mergeCell ref="E35:G35"/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945" r:id="rId4" name="Check Box 1">
              <controlPr defaultSize="0" autoFill="0" autoLine="0" autoPict="0">
                <anchor moveWithCells="1">
                  <from>
                    <xdr:col>2</xdr:col>
                    <xdr:colOff>104775</xdr:colOff>
                    <xdr:row>2</xdr:row>
                    <xdr:rowOff>57150</xdr:rowOff>
                  </from>
                  <to>
                    <xdr:col>2</xdr:col>
                    <xdr:colOff>342900</xdr:colOff>
                    <xdr:row>16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46" r:id="rId5" name="Check Box 2">
              <controlPr defaultSize="0" autoFill="0" autoLine="0" autoPict="0">
                <anchor moveWithCells="1">
                  <from>
                    <xdr:col>4</xdr:col>
                    <xdr:colOff>180975</xdr:colOff>
                    <xdr:row>2</xdr:row>
                    <xdr:rowOff>66675</xdr:rowOff>
                  </from>
                  <to>
                    <xdr:col>4</xdr:col>
                    <xdr:colOff>419100</xdr:colOff>
                    <xdr:row>16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31A36-5070-4F4B-BA76-47303947B909}">
  <dimension ref="A1:J49"/>
  <sheetViews>
    <sheetView workbookViewId="0">
      <selection sqref="A1:XFD1048576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1" style="41" customWidth="1"/>
    <col min="7" max="7" width="13.42578125" style="41" customWidth="1"/>
    <col min="8" max="8" width="24.8554687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570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46078</v>
      </c>
      <c r="I10" s="215"/>
    </row>
    <row r="11" spans="1:9" ht="15.75" x14ac:dyDescent="0.25">
      <c r="A11" s="470" t="s">
        <v>187</v>
      </c>
      <c r="B11" s="471"/>
      <c r="C11" s="474" t="s">
        <v>5</v>
      </c>
      <c r="D11" s="474"/>
      <c r="E11" s="474"/>
      <c r="F11" s="464"/>
      <c r="G11" s="447" t="s">
        <v>188</v>
      </c>
      <c r="H11" s="234" t="s">
        <v>216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217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 t="s">
        <v>356</v>
      </c>
      <c r="B15" s="220"/>
      <c r="C15" s="220"/>
      <c r="D15" s="220"/>
      <c r="E15" s="220"/>
      <c r="F15" s="221"/>
      <c r="G15" s="187"/>
      <c r="H15" s="188"/>
    </row>
    <row r="16" spans="1:9" ht="15.75" x14ac:dyDescent="0.2">
      <c r="A16" s="218" t="s">
        <v>571</v>
      </c>
      <c r="B16" s="70"/>
      <c r="C16" s="70"/>
      <c r="D16" s="70"/>
      <c r="E16" s="70"/>
      <c r="F16" s="219"/>
      <c r="G16" s="224"/>
      <c r="H16" s="225">
        <v>62909.29</v>
      </c>
    </row>
    <row r="17" spans="1:10" x14ac:dyDescent="0.2">
      <c r="A17" s="218" t="s">
        <v>572</v>
      </c>
      <c r="B17" s="70"/>
      <c r="C17" s="70"/>
      <c r="D17" s="70"/>
      <c r="E17" s="70"/>
      <c r="F17" s="219"/>
      <c r="G17" s="187"/>
      <c r="H17" s="188"/>
    </row>
    <row r="18" spans="1:10" x14ac:dyDescent="0.2">
      <c r="A18" s="272"/>
      <c r="F18" s="188"/>
      <c r="G18" s="187"/>
      <c r="H18" s="188"/>
    </row>
    <row r="19" spans="1:10" x14ac:dyDescent="0.2">
      <c r="A19" s="272"/>
      <c r="F19" s="188"/>
      <c r="G19" s="187"/>
      <c r="H19" s="188"/>
    </row>
    <row r="20" spans="1:10" x14ac:dyDescent="0.2">
      <c r="A20" s="272"/>
      <c r="F20" s="188"/>
      <c r="G20" s="187"/>
      <c r="H20" s="188"/>
    </row>
    <row r="21" spans="1:10" x14ac:dyDescent="0.2">
      <c r="A21" s="192"/>
      <c r="B21" s="193"/>
      <c r="C21" s="193"/>
      <c r="D21" s="193"/>
      <c r="E21" s="193"/>
      <c r="F21" s="194"/>
      <c r="G21" s="192"/>
      <c r="H21" s="194"/>
    </row>
    <row r="22" spans="1:10" x14ac:dyDescent="0.2">
      <c r="A22" s="192"/>
      <c r="B22" s="193"/>
      <c r="C22" s="193"/>
      <c r="D22" s="193"/>
      <c r="E22" s="193"/>
      <c r="F22" s="193"/>
      <c r="G22" s="193"/>
      <c r="H22" s="194"/>
    </row>
    <row r="23" spans="1:10" ht="15.75" x14ac:dyDescent="0.25">
      <c r="A23" s="477" t="s">
        <v>191</v>
      </c>
      <c r="B23" s="481"/>
      <c r="C23" s="481"/>
      <c r="D23" s="481"/>
      <c r="E23" s="480"/>
      <c r="F23" s="482" t="s">
        <v>192</v>
      </c>
      <c r="G23" s="483"/>
      <c r="H23" s="195" t="s">
        <v>193</v>
      </c>
    </row>
    <row r="24" spans="1:10" x14ac:dyDescent="0.2">
      <c r="A24" s="226" t="s">
        <v>100</v>
      </c>
      <c r="B24" s="197"/>
      <c r="C24" s="197"/>
      <c r="D24" s="197"/>
      <c r="E24" s="197"/>
      <c r="F24" s="484">
        <v>56703.5</v>
      </c>
      <c r="G24" s="484"/>
      <c r="H24" s="400"/>
      <c r="J24" s="41" t="s">
        <v>196</v>
      </c>
    </row>
    <row r="25" spans="1:10" x14ac:dyDescent="0.2">
      <c r="A25" s="226" t="s">
        <v>101</v>
      </c>
      <c r="C25" s="197"/>
      <c r="D25" s="197"/>
      <c r="E25" s="197"/>
      <c r="F25" s="484">
        <v>12500</v>
      </c>
      <c r="G25" s="484"/>
      <c r="H25" s="230"/>
    </row>
    <row r="26" spans="1:10" x14ac:dyDescent="0.2">
      <c r="A26" s="226" t="s">
        <v>102</v>
      </c>
      <c r="B26" s="197"/>
      <c r="C26" s="197"/>
      <c r="D26" s="197"/>
      <c r="E26" s="197"/>
      <c r="F26" s="484">
        <v>2250</v>
      </c>
      <c r="G26" s="484"/>
      <c r="H26" s="227"/>
    </row>
    <row r="27" spans="1:10" x14ac:dyDescent="0.2">
      <c r="A27" s="226"/>
      <c r="B27" s="231" t="s">
        <v>116</v>
      </c>
      <c r="C27" s="197"/>
      <c r="D27" s="197"/>
      <c r="E27" s="197"/>
      <c r="F27" s="549"/>
      <c r="G27" s="550"/>
      <c r="H27" s="294">
        <v>5225</v>
      </c>
    </row>
    <row r="28" spans="1:10" x14ac:dyDescent="0.2">
      <c r="A28" s="226"/>
      <c r="B28" s="231" t="s">
        <v>117</v>
      </c>
      <c r="C28" s="197"/>
      <c r="D28" s="197"/>
      <c r="E28" s="197"/>
      <c r="F28" s="549"/>
      <c r="G28" s="550"/>
      <c r="H28" s="294">
        <v>1200</v>
      </c>
    </row>
    <row r="29" spans="1:10" x14ac:dyDescent="0.2">
      <c r="A29" s="226"/>
      <c r="B29" s="231" t="s">
        <v>118</v>
      </c>
      <c r="C29" s="197"/>
      <c r="D29" s="197"/>
      <c r="E29" s="197"/>
      <c r="F29" s="549"/>
      <c r="G29" s="550"/>
      <c r="H29" s="294">
        <v>2119.21</v>
      </c>
    </row>
    <row r="30" spans="1:10" x14ac:dyDescent="0.2">
      <c r="A30" s="196"/>
      <c r="B30" s="231" t="s">
        <v>36</v>
      </c>
      <c r="C30" s="197"/>
      <c r="D30" s="197"/>
      <c r="E30" s="199"/>
      <c r="F30" s="486"/>
      <c r="G30" s="486"/>
      <c r="H30" s="294">
        <f>SUM(F24:G26)-H27-H28-H29</f>
        <v>62909.29</v>
      </c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13</v>
      </c>
      <c r="F32" s="201"/>
      <c r="G32" s="202"/>
      <c r="H32" s="203" t="s">
        <v>14</v>
      </c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187"/>
      <c r="D34" s="188"/>
      <c r="E34" s="187"/>
      <c r="G34" s="188"/>
      <c r="H34" s="204"/>
    </row>
    <row r="35" spans="1:8" x14ac:dyDescent="0.2">
      <c r="A35" s="232" t="s">
        <v>15</v>
      </c>
      <c r="B35" s="205"/>
      <c r="C35" s="205"/>
      <c r="D35" s="206"/>
      <c r="E35" s="487" t="s">
        <v>5</v>
      </c>
      <c r="F35" s="48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H38" s="188"/>
    </row>
    <row r="39" spans="1:8" x14ac:dyDescent="0.2">
      <c r="A39" s="187"/>
      <c r="H39" s="188"/>
    </row>
    <row r="40" spans="1:8" ht="15.75" customHeight="1" x14ac:dyDescent="0.2">
      <c r="A40" s="490" t="s">
        <v>21</v>
      </c>
      <c r="B40" s="491"/>
      <c r="C40" s="491"/>
      <c r="D40" s="491"/>
      <c r="E40" s="491"/>
      <c r="F40" s="491" t="s">
        <v>22</v>
      </c>
      <c r="G40" s="491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573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237" t="s">
        <v>574</v>
      </c>
      <c r="G43" s="209" t="s">
        <v>195</v>
      </c>
      <c r="H43" s="238"/>
    </row>
    <row r="44" spans="1:8" x14ac:dyDescent="0.2">
      <c r="A44" s="210"/>
      <c r="G44" s="209" t="s">
        <v>186</v>
      </c>
      <c r="H44" s="188"/>
    </row>
    <row r="45" spans="1:8" x14ac:dyDescent="0.2">
      <c r="A45" s="187"/>
      <c r="H45" s="188"/>
    </row>
    <row r="46" spans="1:8" x14ac:dyDescent="0.2">
      <c r="A46" s="187"/>
      <c r="H46" s="188"/>
    </row>
    <row r="47" spans="1:8" ht="15.75" thickBot="1" x14ac:dyDescent="0.25">
      <c r="A47" s="187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4">
    <mergeCell ref="A5:H5"/>
    <mergeCell ref="A6:H6"/>
    <mergeCell ref="A7:H7"/>
    <mergeCell ref="A8:F9"/>
    <mergeCell ref="G8:G9"/>
    <mergeCell ref="H8:H9"/>
    <mergeCell ref="F25:G25"/>
    <mergeCell ref="A10:B10"/>
    <mergeCell ref="C10:D10"/>
    <mergeCell ref="E10:F10"/>
    <mergeCell ref="A11:B12"/>
    <mergeCell ref="C11:F12"/>
    <mergeCell ref="G11:G12"/>
    <mergeCell ref="A13:F13"/>
    <mergeCell ref="G13:H13"/>
    <mergeCell ref="A23:E23"/>
    <mergeCell ref="F23:G23"/>
    <mergeCell ref="F24:G24"/>
    <mergeCell ref="F26:G26"/>
    <mergeCell ref="F27:G27"/>
    <mergeCell ref="F30:G30"/>
    <mergeCell ref="F31:G31"/>
    <mergeCell ref="E35:G35"/>
    <mergeCell ref="G48:H48"/>
    <mergeCell ref="F28:G28"/>
    <mergeCell ref="F29:G29"/>
    <mergeCell ref="A37:E37"/>
    <mergeCell ref="F37:H37"/>
    <mergeCell ref="A40:E40"/>
    <mergeCell ref="F40:H40"/>
    <mergeCell ref="A41:E41"/>
    <mergeCell ref="F41:H41"/>
    <mergeCell ref="A36:D36"/>
    <mergeCell ref="E36:G36"/>
  </mergeCells>
  <phoneticPr fontId="38" type="noConversion"/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1969" r:id="rId4" name="Check Box 1">
              <controlPr defaultSize="0" autoFill="0" autoLine="0" autoPict="0">
                <anchor moveWithCells="1">
                  <from>
                    <xdr:col>2</xdr:col>
                    <xdr:colOff>133350</xdr:colOff>
                    <xdr:row>5</xdr:row>
                    <xdr:rowOff>114300</xdr:rowOff>
                  </from>
                  <to>
                    <xdr:col>2</xdr:col>
                    <xdr:colOff>371475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70" r:id="rId5" name="Check Box 2">
              <controlPr defaultSize="0" autoFill="0" autoLine="0" autoPict="0">
                <anchor moveWithCells="1">
                  <from>
                    <xdr:col>4</xdr:col>
                    <xdr:colOff>180975</xdr:colOff>
                    <xdr:row>5</xdr:row>
                    <xdr:rowOff>114300</xdr:rowOff>
                  </from>
                  <to>
                    <xdr:col>4</xdr:col>
                    <xdr:colOff>419100</xdr:colOff>
                    <xdr:row>13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C2CE-1BE4-4E40-AF09-D30228AE6FE7}">
  <sheetPr>
    <pageSetUpPr fitToPage="1"/>
  </sheetPr>
  <dimension ref="B1:O58"/>
  <sheetViews>
    <sheetView topLeftCell="A16" workbookViewId="0">
      <selection activeCell="H29" sqref="H29"/>
    </sheetView>
  </sheetViews>
  <sheetFormatPr defaultRowHeight="15" x14ac:dyDescent="0.25"/>
  <cols>
    <col min="2" max="2" width="32.140625" bestFit="1" customWidth="1"/>
    <col min="3" max="3" width="20.28515625" bestFit="1" customWidth="1"/>
    <col min="4" max="4" width="8.7109375" bestFit="1" customWidth="1"/>
    <col min="5" max="5" width="11.5703125" style="163" customWidth="1"/>
    <col min="6" max="6" width="9.85546875" style="163" customWidth="1"/>
    <col min="7" max="7" width="10" style="163" bestFit="1" customWidth="1"/>
    <col min="8" max="8" width="10.5703125" style="163" customWidth="1"/>
    <col min="9" max="9" width="17" style="163" bestFit="1" customWidth="1"/>
    <col min="10" max="10" width="14" style="62" bestFit="1" customWidth="1"/>
    <col min="11" max="11" width="11.42578125" style="62" customWidth="1"/>
    <col min="12" max="12" width="9.42578125" style="163" bestFit="1" customWidth="1"/>
    <col min="13" max="13" width="10.5703125" style="163" customWidth="1"/>
    <col min="14" max="14" width="11.7109375" style="62" customWidth="1"/>
    <col min="15" max="15" width="11.140625" customWidth="1"/>
    <col min="258" max="258" width="22.42578125" customWidth="1"/>
    <col min="259" max="259" width="17.28515625" customWidth="1"/>
    <col min="260" max="260" width="9.28515625" customWidth="1"/>
    <col min="261" max="261" width="9.42578125" customWidth="1"/>
    <col min="262" max="262" width="9.5703125" customWidth="1"/>
    <col min="263" max="263" width="9.42578125" customWidth="1"/>
    <col min="264" max="264" width="9.42578125" bestFit="1" customWidth="1"/>
    <col min="265" max="265" width="12.5703125" customWidth="1"/>
    <col min="266" max="266" width="12.7109375" customWidth="1"/>
    <col min="267" max="267" width="8.28515625" customWidth="1"/>
    <col min="269" max="269" width="10.28515625" customWidth="1"/>
    <col min="270" max="270" width="14.7109375" customWidth="1"/>
    <col min="514" max="514" width="22.42578125" customWidth="1"/>
    <col min="515" max="515" width="17.28515625" customWidth="1"/>
    <col min="516" max="516" width="9.28515625" customWidth="1"/>
    <col min="517" max="517" width="9.42578125" customWidth="1"/>
    <col min="518" max="518" width="9.5703125" customWidth="1"/>
    <col min="519" max="519" width="9.42578125" customWidth="1"/>
    <col min="520" max="520" width="9.42578125" bestFit="1" customWidth="1"/>
    <col min="521" max="521" width="12.5703125" customWidth="1"/>
    <col min="522" max="522" width="12.7109375" customWidth="1"/>
    <col min="523" max="523" width="8.28515625" customWidth="1"/>
    <col min="525" max="525" width="10.28515625" customWidth="1"/>
    <col min="526" max="526" width="14.7109375" customWidth="1"/>
    <col min="770" max="770" width="22.42578125" customWidth="1"/>
    <col min="771" max="771" width="17.28515625" customWidth="1"/>
    <col min="772" max="772" width="9.28515625" customWidth="1"/>
    <col min="773" max="773" width="9.42578125" customWidth="1"/>
    <col min="774" max="774" width="9.5703125" customWidth="1"/>
    <col min="775" max="775" width="9.42578125" customWidth="1"/>
    <col min="776" max="776" width="9.42578125" bestFit="1" customWidth="1"/>
    <col min="777" max="777" width="12.5703125" customWidth="1"/>
    <col min="778" max="778" width="12.7109375" customWidth="1"/>
    <col min="779" max="779" width="8.28515625" customWidth="1"/>
    <col min="781" max="781" width="10.28515625" customWidth="1"/>
    <col min="782" max="782" width="14.7109375" customWidth="1"/>
    <col min="1026" max="1026" width="22.42578125" customWidth="1"/>
    <col min="1027" max="1027" width="17.28515625" customWidth="1"/>
    <col min="1028" max="1028" width="9.28515625" customWidth="1"/>
    <col min="1029" max="1029" width="9.42578125" customWidth="1"/>
    <col min="1030" max="1030" width="9.5703125" customWidth="1"/>
    <col min="1031" max="1031" width="9.42578125" customWidth="1"/>
    <col min="1032" max="1032" width="9.42578125" bestFit="1" customWidth="1"/>
    <col min="1033" max="1033" width="12.5703125" customWidth="1"/>
    <col min="1034" max="1034" width="12.7109375" customWidth="1"/>
    <col min="1035" max="1035" width="8.28515625" customWidth="1"/>
    <col min="1037" max="1037" width="10.28515625" customWidth="1"/>
    <col min="1038" max="1038" width="14.7109375" customWidth="1"/>
    <col min="1282" max="1282" width="22.42578125" customWidth="1"/>
    <col min="1283" max="1283" width="17.28515625" customWidth="1"/>
    <col min="1284" max="1284" width="9.28515625" customWidth="1"/>
    <col min="1285" max="1285" width="9.42578125" customWidth="1"/>
    <col min="1286" max="1286" width="9.5703125" customWidth="1"/>
    <col min="1287" max="1287" width="9.42578125" customWidth="1"/>
    <col min="1288" max="1288" width="9.42578125" bestFit="1" customWidth="1"/>
    <col min="1289" max="1289" width="12.5703125" customWidth="1"/>
    <col min="1290" max="1290" width="12.7109375" customWidth="1"/>
    <col min="1291" max="1291" width="8.28515625" customWidth="1"/>
    <col min="1293" max="1293" width="10.28515625" customWidth="1"/>
    <col min="1294" max="1294" width="14.7109375" customWidth="1"/>
    <col min="1538" max="1538" width="22.42578125" customWidth="1"/>
    <col min="1539" max="1539" width="17.28515625" customWidth="1"/>
    <col min="1540" max="1540" width="9.28515625" customWidth="1"/>
    <col min="1541" max="1541" width="9.42578125" customWidth="1"/>
    <col min="1542" max="1542" width="9.5703125" customWidth="1"/>
    <col min="1543" max="1543" width="9.42578125" customWidth="1"/>
    <col min="1544" max="1544" width="9.42578125" bestFit="1" customWidth="1"/>
    <col min="1545" max="1545" width="12.5703125" customWidth="1"/>
    <col min="1546" max="1546" width="12.7109375" customWidth="1"/>
    <col min="1547" max="1547" width="8.28515625" customWidth="1"/>
    <col min="1549" max="1549" width="10.28515625" customWidth="1"/>
    <col min="1550" max="1550" width="14.7109375" customWidth="1"/>
    <col min="1794" max="1794" width="22.42578125" customWidth="1"/>
    <col min="1795" max="1795" width="17.28515625" customWidth="1"/>
    <col min="1796" max="1796" width="9.28515625" customWidth="1"/>
    <col min="1797" max="1797" width="9.42578125" customWidth="1"/>
    <col min="1798" max="1798" width="9.5703125" customWidth="1"/>
    <col min="1799" max="1799" width="9.42578125" customWidth="1"/>
    <col min="1800" max="1800" width="9.42578125" bestFit="1" customWidth="1"/>
    <col min="1801" max="1801" width="12.5703125" customWidth="1"/>
    <col min="1802" max="1802" width="12.7109375" customWidth="1"/>
    <col min="1803" max="1803" width="8.28515625" customWidth="1"/>
    <col min="1805" max="1805" width="10.28515625" customWidth="1"/>
    <col min="1806" max="1806" width="14.7109375" customWidth="1"/>
    <col min="2050" max="2050" width="22.42578125" customWidth="1"/>
    <col min="2051" max="2051" width="17.28515625" customWidth="1"/>
    <col min="2052" max="2052" width="9.28515625" customWidth="1"/>
    <col min="2053" max="2053" width="9.42578125" customWidth="1"/>
    <col min="2054" max="2054" width="9.5703125" customWidth="1"/>
    <col min="2055" max="2055" width="9.42578125" customWidth="1"/>
    <col min="2056" max="2056" width="9.42578125" bestFit="1" customWidth="1"/>
    <col min="2057" max="2057" width="12.5703125" customWidth="1"/>
    <col min="2058" max="2058" width="12.7109375" customWidth="1"/>
    <col min="2059" max="2059" width="8.28515625" customWidth="1"/>
    <col min="2061" max="2061" width="10.28515625" customWidth="1"/>
    <col min="2062" max="2062" width="14.7109375" customWidth="1"/>
    <col min="2306" max="2306" width="22.42578125" customWidth="1"/>
    <col min="2307" max="2307" width="17.28515625" customWidth="1"/>
    <col min="2308" max="2308" width="9.28515625" customWidth="1"/>
    <col min="2309" max="2309" width="9.42578125" customWidth="1"/>
    <col min="2310" max="2310" width="9.5703125" customWidth="1"/>
    <col min="2311" max="2311" width="9.42578125" customWidth="1"/>
    <col min="2312" max="2312" width="9.42578125" bestFit="1" customWidth="1"/>
    <col min="2313" max="2313" width="12.5703125" customWidth="1"/>
    <col min="2314" max="2314" width="12.7109375" customWidth="1"/>
    <col min="2315" max="2315" width="8.28515625" customWidth="1"/>
    <col min="2317" max="2317" width="10.28515625" customWidth="1"/>
    <col min="2318" max="2318" width="14.7109375" customWidth="1"/>
    <col min="2562" max="2562" width="22.42578125" customWidth="1"/>
    <col min="2563" max="2563" width="17.28515625" customWidth="1"/>
    <col min="2564" max="2564" width="9.28515625" customWidth="1"/>
    <col min="2565" max="2565" width="9.42578125" customWidth="1"/>
    <col min="2566" max="2566" width="9.5703125" customWidth="1"/>
    <col min="2567" max="2567" width="9.42578125" customWidth="1"/>
    <col min="2568" max="2568" width="9.42578125" bestFit="1" customWidth="1"/>
    <col min="2569" max="2569" width="12.5703125" customWidth="1"/>
    <col min="2570" max="2570" width="12.7109375" customWidth="1"/>
    <col min="2571" max="2571" width="8.28515625" customWidth="1"/>
    <col min="2573" max="2573" width="10.28515625" customWidth="1"/>
    <col min="2574" max="2574" width="14.7109375" customWidth="1"/>
    <col min="2818" max="2818" width="22.42578125" customWidth="1"/>
    <col min="2819" max="2819" width="17.28515625" customWidth="1"/>
    <col min="2820" max="2820" width="9.28515625" customWidth="1"/>
    <col min="2821" max="2821" width="9.42578125" customWidth="1"/>
    <col min="2822" max="2822" width="9.5703125" customWidth="1"/>
    <col min="2823" max="2823" width="9.42578125" customWidth="1"/>
    <col min="2824" max="2824" width="9.42578125" bestFit="1" customWidth="1"/>
    <col min="2825" max="2825" width="12.5703125" customWidth="1"/>
    <col min="2826" max="2826" width="12.7109375" customWidth="1"/>
    <col min="2827" max="2827" width="8.28515625" customWidth="1"/>
    <col min="2829" max="2829" width="10.28515625" customWidth="1"/>
    <col min="2830" max="2830" width="14.7109375" customWidth="1"/>
    <col min="3074" max="3074" width="22.42578125" customWidth="1"/>
    <col min="3075" max="3075" width="17.28515625" customWidth="1"/>
    <col min="3076" max="3076" width="9.28515625" customWidth="1"/>
    <col min="3077" max="3077" width="9.42578125" customWidth="1"/>
    <col min="3078" max="3078" width="9.5703125" customWidth="1"/>
    <col min="3079" max="3079" width="9.42578125" customWidth="1"/>
    <col min="3080" max="3080" width="9.42578125" bestFit="1" customWidth="1"/>
    <col min="3081" max="3081" width="12.5703125" customWidth="1"/>
    <col min="3082" max="3082" width="12.7109375" customWidth="1"/>
    <col min="3083" max="3083" width="8.28515625" customWidth="1"/>
    <col min="3085" max="3085" width="10.28515625" customWidth="1"/>
    <col min="3086" max="3086" width="14.7109375" customWidth="1"/>
    <col min="3330" max="3330" width="22.42578125" customWidth="1"/>
    <col min="3331" max="3331" width="17.28515625" customWidth="1"/>
    <col min="3332" max="3332" width="9.28515625" customWidth="1"/>
    <col min="3333" max="3333" width="9.42578125" customWidth="1"/>
    <col min="3334" max="3334" width="9.5703125" customWidth="1"/>
    <col min="3335" max="3335" width="9.42578125" customWidth="1"/>
    <col min="3336" max="3336" width="9.42578125" bestFit="1" customWidth="1"/>
    <col min="3337" max="3337" width="12.5703125" customWidth="1"/>
    <col min="3338" max="3338" width="12.7109375" customWidth="1"/>
    <col min="3339" max="3339" width="8.28515625" customWidth="1"/>
    <col min="3341" max="3341" width="10.28515625" customWidth="1"/>
    <col min="3342" max="3342" width="14.7109375" customWidth="1"/>
    <col min="3586" max="3586" width="22.42578125" customWidth="1"/>
    <col min="3587" max="3587" width="17.28515625" customWidth="1"/>
    <col min="3588" max="3588" width="9.28515625" customWidth="1"/>
    <col min="3589" max="3589" width="9.42578125" customWidth="1"/>
    <col min="3590" max="3590" width="9.5703125" customWidth="1"/>
    <col min="3591" max="3591" width="9.42578125" customWidth="1"/>
    <col min="3592" max="3592" width="9.42578125" bestFit="1" customWidth="1"/>
    <col min="3593" max="3593" width="12.5703125" customWidth="1"/>
    <col min="3594" max="3594" width="12.7109375" customWidth="1"/>
    <col min="3595" max="3595" width="8.28515625" customWidth="1"/>
    <col min="3597" max="3597" width="10.28515625" customWidth="1"/>
    <col min="3598" max="3598" width="14.7109375" customWidth="1"/>
    <col min="3842" max="3842" width="22.42578125" customWidth="1"/>
    <col min="3843" max="3843" width="17.28515625" customWidth="1"/>
    <col min="3844" max="3844" width="9.28515625" customWidth="1"/>
    <col min="3845" max="3845" width="9.42578125" customWidth="1"/>
    <col min="3846" max="3846" width="9.5703125" customWidth="1"/>
    <col min="3847" max="3847" width="9.42578125" customWidth="1"/>
    <col min="3848" max="3848" width="9.42578125" bestFit="1" customWidth="1"/>
    <col min="3849" max="3849" width="12.5703125" customWidth="1"/>
    <col min="3850" max="3850" width="12.7109375" customWidth="1"/>
    <col min="3851" max="3851" width="8.28515625" customWidth="1"/>
    <col min="3853" max="3853" width="10.28515625" customWidth="1"/>
    <col min="3854" max="3854" width="14.7109375" customWidth="1"/>
    <col min="4098" max="4098" width="22.42578125" customWidth="1"/>
    <col min="4099" max="4099" width="17.28515625" customWidth="1"/>
    <col min="4100" max="4100" width="9.28515625" customWidth="1"/>
    <col min="4101" max="4101" width="9.42578125" customWidth="1"/>
    <col min="4102" max="4102" width="9.5703125" customWidth="1"/>
    <col min="4103" max="4103" width="9.42578125" customWidth="1"/>
    <col min="4104" max="4104" width="9.42578125" bestFit="1" customWidth="1"/>
    <col min="4105" max="4105" width="12.5703125" customWidth="1"/>
    <col min="4106" max="4106" width="12.7109375" customWidth="1"/>
    <col min="4107" max="4107" width="8.28515625" customWidth="1"/>
    <col min="4109" max="4109" width="10.28515625" customWidth="1"/>
    <col min="4110" max="4110" width="14.7109375" customWidth="1"/>
    <col min="4354" max="4354" width="22.42578125" customWidth="1"/>
    <col min="4355" max="4355" width="17.28515625" customWidth="1"/>
    <col min="4356" max="4356" width="9.28515625" customWidth="1"/>
    <col min="4357" max="4357" width="9.42578125" customWidth="1"/>
    <col min="4358" max="4358" width="9.5703125" customWidth="1"/>
    <col min="4359" max="4359" width="9.42578125" customWidth="1"/>
    <col min="4360" max="4360" width="9.42578125" bestFit="1" customWidth="1"/>
    <col min="4361" max="4361" width="12.5703125" customWidth="1"/>
    <col min="4362" max="4362" width="12.7109375" customWidth="1"/>
    <col min="4363" max="4363" width="8.28515625" customWidth="1"/>
    <col min="4365" max="4365" width="10.28515625" customWidth="1"/>
    <col min="4366" max="4366" width="14.7109375" customWidth="1"/>
    <col min="4610" max="4610" width="22.42578125" customWidth="1"/>
    <col min="4611" max="4611" width="17.28515625" customWidth="1"/>
    <col min="4612" max="4612" width="9.28515625" customWidth="1"/>
    <col min="4613" max="4613" width="9.42578125" customWidth="1"/>
    <col min="4614" max="4614" width="9.5703125" customWidth="1"/>
    <col min="4615" max="4615" width="9.42578125" customWidth="1"/>
    <col min="4616" max="4616" width="9.42578125" bestFit="1" customWidth="1"/>
    <col min="4617" max="4617" width="12.5703125" customWidth="1"/>
    <col min="4618" max="4618" width="12.7109375" customWidth="1"/>
    <col min="4619" max="4619" width="8.28515625" customWidth="1"/>
    <col min="4621" max="4621" width="10.28515625" customWidth="1"/>
    <col min="4622" max="4622" width="14.7109375" customWidth="1"/>
    <col min="4866" max="4866" width="22.42578125" customWidth="1"/>
    <col min="4867" max="4867" width="17.28515625" customWidth="1"/>
    <col min="4868" max="4868" width="9.28515625" customWidth="1"/>
    <col min="4869" max="4869" width="9.42578125" customWidth="1"/>
    <col min="4870" max="4870" width="9.5703125" customWidth="1"/>
    <col min="4871" max="4871" width="9.42578125" customWidth="1"/>
    <col min="4872" max="4872" width="9.42578125" bestFit="1" customWidth="1"/>
    <col min="4873" max="4873" width="12.5703125" customWidth="1"/>
    <col min="4874" max="4874" width="12.7109375" customWidth="1"/>
    <col min="4875" max="4875" width="8.28515625" customWidth="1"/>
    <col min="4877" max="4877" width="10.28515625" customWidth="1"/>
    <col min="4878" max="4878" width="14.7109375" customWidth="1"/>
    <col min="5122" max="5122" width="22.42578125" customWidth="1"/>
    <col min="5123" max="5123" width="17.28515625" customWidth="1"/>
    <col min="5124" max="5124" width="9.28515625" customWidth="1"/>
    <col min="5125" max="5125" width="9.42578125" customWidth="1"/>
    <col min="5126" max="5126" width="9.5703125" customWidth="1"/>
    <col min="5127" max="5127" width="9.42578125" customWidth="1"/>
    <col min="5128" max="5128" width="9.42578125" bestFit="1" customWidth="1"/>
    <col min="5129" max="5129" width="12.5703125" customWidth="1"/>
    <col min="5130" max="5130" width="12.7109375" customWidth="1"/>
    <col min="5131" max="5131" width="8.28515625" customWidth="1"/>
    <col min="5133" max="5133" width="10.28515625" customWidth="1"/>
    <col min="5134" max="5134" width="14.7109375" customWidth="1"/>
    <col min="5378" max="5378" width="22.42578125" customWidth="1"/>
    <col min="5379" max="5379" width="17.28515625" customWidth="1"/>
    <col min="5380" max="5380" width="9.28515625" customWidth="1"/>
    <col min="5381" max="5381" width="9.42578125" customWidth="1"/>
    <col min="5382" max="5382" width="9.5703125" customWidth="1"/>
    <col min="5383" max="5383" width="9.42578125" customWidth="1"/>
    <col min="5384" max="5384" width="9.42578125" bestFit="1" customWidth="1"/>
    <col min="5385" max="5385" width="12.5703125" customWidth="1"/>
    <col min="5386" max="5386" width="12.7109375" customWidth="1"/>
    <col min="5387" max="5387" width="8.28515625" customWidth="1"/>
    <col min="5389" max="5389" width="10.28515625" customWidth="1"/>
    <col min="5390" max="5390" width="14.7109375" customWidth="1"/>
    <col min="5634" max="5634" width="22.42578125" customWidth="1"/>
    <col min="5635" max="5635" width="17.28515625" customWidth="1"/>
    <col min="5636" max="5636" width="9.28515625" customWidth="1"/>
    <col min="5637" max="5637" width="9.42578125" customWidth="1"/>
    <col min="5638" max="5638" width="9.5703125" customWidth="1"/>
    <col min="5639" max="5639" width="9.42578125" customWidth="1"/>
    <col min="5640" max="5640" width="9.42578125" bestFit="1" customWidth="1"/>
    <col min="5641" max="5641" width="12.5703125" customWidth="1"/>
    <col min="5642" max="5642" width="12.7109375" customWidth="1"/>
    <col min="5643" max="5643" width="8.28515625" customWidth="1"/>
    <col min="5645" max="5645" width="10.28515625" customWidth="1"/>
    <col min="5646" max="5646" width="14.7109375" customWidth="1"/>
    <col min="5890" max="5890" width="22.42578125" customWidth="1"/>
    <col min="5891" max="5891" width="17.28515625" customWidth="1"/>
    <col min="5892" max="5892" width="9.28515625" customWidth="1"/>
    <col min="5893" max="5893" width="9.42578125" customWidth="1"/>
    <col min="5894" max="5894" width="9.5703125" customWidth="1"/>
    <col min="5895" max="5895" width="9.42578125" customWidth="1"/>
    <col min="5896" max="5896" width="9.42578125" bestFit="1" customWidth="1"/>
    <col min="5897" max="5897" width="12.5703125" customWidth="1"/>
    <col min="5898" max="5898" width="12.7109375" customWidth="1"/>
    <col min="5899" max="5899" width="8.28515625" customWidth="1"/>
    <col min="5901" max="5901" width="10.28515625" customWidth="1"/>
    <col min="5902" max="5902" width="14.7109375" customWidth="1"/>
    <col min="6146" max="6146" width="22.42578125" customWidth="1"/>
    <col min="6147" max="6147" width="17.28515625" customWidth="1"/>
    <col min="6148" max="6148" width="9.28515625" customWidth="1"/>
    <col min="6149" max="6149" width="9.42578125" customWidth="1"/>
    <col min="6150" max="6150" width="9.5703125" customWidth="1"/>
    <col min="6151" max="6151" width="9.42578125" customWidth="1"/>
    <col min="6152" max="6152" width="9.42578125" bestFit="1" customWidth="1"/>
    <col min="6153" max="6153" width="12.5703125" customWidth="1"/>
    <col min="6154" max="6154" width="12.7109375" customWidth="1"/>
    <col min="6155" max="6155" width="8.28515625" customWidth="1"/>
    <col min="6157" max="6157" width="10.28515625" customWidth="1"/>
    <col min="6158" max="6158" width="14.7109375" customWidth="1"/>
    <col min="6402" max="6402" width="22.42578125" customWidth="1"/>
    <col min="6403" max="6403" width="17.28515625" customWidth="1"/>
    <col min="6404" max="6404" width="9.28515625" customWidth="1"/>
    <col min="6405" max="6405" width="9.42578125" customWidth="1"/>
    <col min="6406" max="6406" width="9.5703125" customWidth="1"/>
    <col min="6407" max="6407" width="9.42578125" customWidth="1"/>
    <col min="6408" max="6408" width="9.42578125" bestFit="1" customWidth="1"/>
    <col min="6409" max="6409" width="12.5703125" customWidth="1"/>
    <col min="6410" max="6410" width="12.7109375" customWidth="1"/>
    <col min="6411" max="6411" width="8.28515625" customWidth="1"/>
    <col min="6413" max="6413" width="10.28515625" customWidth="1"/>
    <col min="6414" max="6414" width="14.7109375" customWidth="1"/>
    <col min="6658" max="6658" width="22.42578125" customWidth="1"/>
    <col min="6659" max="6659" width="17.28515625" customWidth="1"/>
    <col min="6660" max="6660" width="9.28515625" customWidth="1"/>
    <col min="6661" max="6661" width="9.42578125" customWidth="1"/>
    <col min="6662" max="6662" width="9.5703125" customWidth="1"/>
    <col min="6663" max="6663" width="9.42578125" customWidth="1"/>
    <col min="6664" max="6664" width="9.42578125" bestFit="1" customWidth="1"/>
    <col min="6665" max="6665" width="12.5703125" customWidth="1"/>
    <col min="6666" max="6666" width="12.7109375" customWidth="1"/>
    <col min="6667" max="6667" width="8.28515625" customWidth="1"/>
    <col min="6669" max="6669" width="10.28515625" customWidth="1"/>
    <col min="6670" max="6670" width="14.7109375" customWidth="1"/>
    <col min="6914" max="6914" width="22.42578125" customWidth="1"/>
    <col min="6915" max="6915" width="17.28515625" customWidth="1"/>
    <col min="6916" max="6916" width="9.28515625" customWidth="1"/>
    <col min="6917" max="6917" width="9.42578125" customWidth="1"/>
    <col min="6918" max="6918" width="9.5703125" customWidth="1"/>
    <col min="6919" max="6919" width="9.42578125" customWidth="1"/>
    <col min="6920" max="6920" width="9.42578125" bestFit="1" customWidth="1"/>
    <col min="6921" max="6921" width="12.5703125" customWidth="1"/>
    <col min="6922" max="6922" width="12.7109375" customWidth="1"/>
    <col min="6923" max="6923" width="8.28515625" customWidth="1"/>
    <col min="6925" max="6925" width="10.28515625" customWidth="1"/>
    <col min="6926" max="6926" width="14.7109375" customWidth="1"/>
    <col min="7170" max="7170" width="22.42578125" customWidth="1"/>
    <col min="7171" max="7171" width="17.28515625" customWidth="1"/>
    <col min="7172" max="7172" width="9.28515625" customWidth="1"/>
    <col min="7173" max="7173" width="9.42578125" customWidth="1"/>
    <col min="7174" max="7174" width="9.5703125" customWidth="1"/>
    <col min="7175" max="7175" width="9.42578125" customWidth="1"/>
    <col min="7176" max="7176" width="9.42578125" bestFit="1" customWidth="1"/>
    <col min="7177" max="7177" width="12.5703125" customWidth="1"/>
    <col min="7178" max="7178" width="12.7109375" customWidth="1"/>
    <col min="7179" max="7179" width="8.28515625" customWidth="1"/>
    <col min="7181" max="7181" width="10.28515625" customWidth="1"/>
    <col min="7182" max="7182" width="14.7109375" customWidth="1"/>
    <col min="7426" max="7426" width="22.42578125" customWidth="1"/>
    <col min="7427" max="7427" width="17.28515625" customWidth="1"/>
    <col min="7428" max="7428" width="9.28515625" customWidth="1"/>
    <col min="7429" max="7429" width="9.42578125" customWidth="1"/>
    <col min="7430" max="7430" width="9.5703125" customWidth="1"/>
    <col min="7431" max="7431" width="9.42578125" customWidth="1"/>
    <col min="7432" max="7432" width="9.42578125" bestFit="1" customWidth="1"/>
    <col min="7433" max="7433" width="12.5703125" customWidth="1"/>
    <col min="7434" max="7434" width="12.7109375" customWidth="1"/>
    <col min="7435" max="7435" width="8.28515625" customWidth="1"/>
    <col min="7437" max="7437" width="10.28515625" customWidth="1"/>
    <col min="7438" max="7438" width="14.7109375" customWidth="1"/>
    <col min="7682" max="7682" width="22.42578125" customWidth="1"/>
    <col min="7683" max="7683" width="17.28515625" customWidth="1"/>
    <col min="7684" max="7684" width="9.28515625" customWidth="1"/>
    <col min="7685" max="7685" width="9.42578125" customWidth="1"/>
    <col min="7686" max="7686" width="9.5703125" customWidth="1"/>
    <col min="7687" max="7687" width="9.42578125" customWidth="1"/>
    <col min="7688" max="7688" width="9.42578125" bestFit="1" customWidth="1"/>
    <col min="7689" max="7689" width="12.5703125" customWidth="1"/>
    <col min="7690" max="7690" width="12.7109375" customWidth="1"/>
    <col min="7691" max="7691" width="8.28515625" customWidth="1"/>
    <col min="7693" max="7693" width="10.28515625" customWidth="1"/>
    <col min="7694" max="7694" width="14.7109375" customWidth="1"/>
    <col min="7938" max="7938" width="22.42578125" customWidth="1"/>
    <col min="7939" max="7939" width="17.28515625" customWidth="1"/>
    <col min="7940" max="7940" width="9.28515625" customWidth="1"/>
    <col min="7941" max="7941" width="9.42578125" customWidth="1"/>
    <col min="7942" max="7942" width="9.5703125" customWidth="1"/>
    <col min="7943" max="7943" width="9.42578125" customWidth="1"/>
    <col min="7944" max="7944" width="9.42578125" bestFit="1" customWidth="1"/>
    <col min="7945" max="7945" width="12.5703125" customWidth="1"/>
    <col min="7946" max="7946" width="12.7109375" customWidth="1"/>
    <col min="7947" max="7947" width="8.28515625" customWidth="1"/>
    <col min="7949" max="7949" width="10.28515625" customWidth="1"/>
    <col min="7950" max="7950" width="14.7109375" customWidth="1"/>
    <col min="8194" max="8194" width="22.42578125" customWidth="1"/>
    <col min="8195" max="8195" width="17.28515625" customWidth="1"/>
    <col min="8196" max="8196" width="9.28515625" customWidth="1"/>
    <col min="8197" max="8197" width="9.42578125" customWidth="1"/>
    <col min="8198" max="8198" width="9.5703125" customWidth="1"/>
    <col min="8199" max="8199" width="9.42578125" customWidth="1"/>
    <col min="8200" max="8200" width="9.42578125" bestFit="1" customWidth="1"/>
    <col min="8201" max="8201" width="12.5703125" customWidth="1"/>
    <col min="8202" max="8202" width="12.7109375" customWidth="1"/>
    <col min="8203" max="8203" width="8.28515625" customWidth="1"/>
    <col min="8205" max="8205" width="10.28515625" customWidth="1"/>
    <col min="8206" max="8206" width="14.7109375" customWidth="1"/>
    <col min="8450" max="8450" width="22.42578125" customWidth="1"/>
    <col min="8451" max="8451" width="17.28515625" customWidth="1"/>
    <col min="8452" max="8452" width="9.28515625" customWidth="1"/>
    <col min="8453" max="8453" width="9.42578125" customWidth="1"/>
    <col min="8454" max="8454" width="9.5703125" customWidth="1"/>
    <col min="8455" max="8455" width="9.42578125" customWidth="1"/>
    <col min="8456" max="8456" width="9.42578125" bestFit="1" customWidth="1"/>
    <col min="8457" max="8457" width="12.5703125" customWidth="1"/>
    <col min="8458" max="8458" width="12.7109375" customWidth="1"/>
    <col min="8459" max="8459" width="8.28515625" customWidth="1"/>
    <col min="8461" max="8461" width="10.28515625" customWidth="1"/>
    <col min="8462" max="8462" width="14.7109375" customWidth="1"/>
    <col min="8706" max="8706" width="22.42578125" customWidth="1"/>
    <col min="8707" max="8707" width="17.28515625" customWidth="1"/>
    <col min="8708" max="8708" width="9.28515625" customWidth="1"/>
    <col min="8709" max="8709" width="9.42578125" customWidth="1"/>
    <col min="8710" max="8710" width="9.5703125" customWidth="1"/>
    <col min="8711" max="8711" width="9.42578125" customWidth="1"/>
    <col min="8712" max="8712" width="9.42578125" bestFit="1" customWidth="1"/>
    <col min="8713" max="8713" width="12.5703125" customWidth="1"/>
    <col min="8714" max="8714" width="12.7109375" customWidth="1"/>
    <col min="8715" max="8715" width="8.28515625" customWidth="1"/>
    <col min="8717" max="8717" width="10.28515625" customWidth="1"/>
    <col min="8718" max="8718" width="14.7109375" customWidth="1"/>
    <col min="8962" max="8962" width="22.42578125" customWidth="1"/>
    <col min="8963" max="8963" width="17.28515625" customWidth="1"/>
    <col min="8964" max="8964" width="9.28515625" customWidth="1"/>
    <col min="8965" max="8965" width="9.42578125" customWidth="1"/>
    <col min="8966" max="8966" width="9.5703125" customWidth="1"/>
    <col min="8967" max="8967" width="9.42578125" customWidth="1"/>
    <col min="8968" max="8968" width="9.42578125" bestFit="1" customWidth="1"/>
    <col min="8969" max="8969" width="12.5703125" customWidth="1"/>
    <col min="8970" max="8970" width="12.7109375" customWidth="1"/>
    <col min="8971" max="8971" width="8.28515625" customWidth="1"/>
    <col min="8973" max="8973" width="10.28515625" customWidth="1"/>
    <col min="8974" max="8974" width="14.7109375" customWidth="1"/>
    <col min="9218" max="9218" width="22.42578125" customWidth="1"/>
    <col min="9219" max="9219" width="17.28515625" customWidth="1"/>
    <col min="9220" max="9220" width="9.28515625" customWidth="1"/>
    <col min="9221" max="9221" width="9.42578125" customWidth="1"/>
    <col min="9222" max="9222" width="9.5703125" customWidth="1"/>
    <col min="9223" max="9223" width="9.42578125" customWidth="1"/>
    <col min="9224" max="9224" width="9.42578125" bestFit="1" customWidth="1"/>
    <col min="9225" max="9225" width="12.5703125" customWidth="1"/>
    <col min="9226" max="9226" width="12.7109375" customWidth="1"/>
    <col min="9227" max="9227" width="8.28515625" customWidth="1"/>
    <col min="9229" max="9229" width="10.28515625" customWidth="1"/>
    <col min="9230" max="9230" width="14.7109375" customWidth="1"/>
    <col min="9474" max="9474" width="22.42578125" customWidth="1"/>
    <col min="9475" max="9475" width="17.28515625" customWidth="1"/>
    <col min="9476" max="9476" width="9.28515625" customWidth="1"/>
    <col min="9477" max="9477" width="9.42578125" customWidth="1"/>
    <col min="9478" max="9478" width="9.5703125" customWidth="1"/>
    <col min="9479" max="9479" width="9.42578125" customWidth="1"/>
    <col min="9480" max="9480" width="9.42578125" bestFit="1" customWidth="1"/>
    <col min="9481" max="9481" width="12.5703125" customWidth="1"/>
    <col min="9482" max="9482" width="12.7109375" customWidth="1"/>
    <col min="9483" max="9483" width="8.28515625" customWidth="1"/>
    <col min="9485" max="9485" width="10.28515625" customWidth="1"/>
    <col min="9486" max="9486" width="14.7109375" customWidth="1"/>
    <col min="9730" max="9730" width="22.42578125" customWidth="1"/>
    <col min="9731" max="9731" width="17.28515625" customWidth="1"/>
    <col min="9732" max="9732" width="9.28515625" customWidth="1"/>
    <col min="9733" max="9733" width="9.42578125" customWidth="1"/>
    <col min="9734" max="9734" width="9.5703125" customWidth="1"/>
    <col min="9735" max="9735" width="9.42578125" customWidth="1"/>
    <col min="9736" max="9736" width="9.42578125" bestFit="1" customWidth="1"/>
    <col min="9737" max="9737" width="12.5703125" customWidth="1"/>
    <col min="9738" max="9738" width="12.7109375" customWidth="1"/>
    <col min="9739" max="9739" width="8.28515625" customWidth="1"/>
    <col min="9741" max="9741" width="10.28515625" customWidth="1"/>
    <col min="9742" max="9742" width="14.7109375" customWidth="1"/>
    <col min="9986" max="9986" width="22.42578125" customWidth="1"/>
    <col min="9987" max="9987" width="17.28515625" customWidth="1"/>
    <col min="9988" max="9988" width="9.28515625" customWidth="1"/>
    <col min="9989" max="9989" width="9.42578125" customWidth="1"/>
    <col min="9990" max="9990" width="9.5703125" customWidth="1"/>
    <col min="9991" max="9991" width="9.42578125" customWidth="1"/>
    <col min="9992" max="9992" width="9.42578125" bestFit="1" customWidth="1"/>
    <col min="9993" max="9993" width="12.5703125" customWidth="1"/>
    <col min="9994" max="9994" width="12.7109375" customWidth="1"/>
    <col min="9995" max="9995" width="8.28515625" customWidth="1"/>
    <col min="9997" max="9997" width="10.28515625" customWidth="1"/>
    <col min="9998" max="9998" width="14.7109375" customWidth="1"/>
    <col min="10242" max="10242" width="22.42578125" customWidth="1"/>
    <col min="10243" max="10243" width="17.28515625" customWidth="1"/>
    <col min="10244" max="10244" width="9.28515625" customWidth="1"/>
    <col min="10245" max="10245" width="9.42578125" customWidth="1"/>
    <col min="10246" max="10246" width="9.5703125" customWidth="1"/>
    <col min="10247" max="10247" width="9.42578125" customWidth="1"/>
    <col min="10248" max="10248" width="9.42578125" bestFit="1" customWidth="1"/>
    <col min="10249" max="10249" width="12.5703125" customWidth="1"/>
    <col min="10250" max="10250" width="12.7109375" customWidth="1"/>
    <col min="10251" max="10251" width="8.28515625" customWidth="1"/>
    <col min="10253" max="10253" width="10.28515625" customWidth="1"/>
    <col min="10254" max="10254" width="14.7109375" customWidth="1"/>
    <col min="10498" max="10498" width="22.42578125" customWidth="1"/>
    <col min="10499" max="10499" width="17.28515625" customWidth="1"/>
    <col min="10500" max="10500" width="9.28515625" customWidth="1"/>
    <col min="10501" max="10501" width="9.42578125" customWidth="1"/>
    <col min="10502" max="10502" width="9.5703125" customWidth="1"/>
    <col min="10503" max="10503" width="9.42578125" customWidth="1"/>
    <col min="10504" max="10504" width="9.42578125" bestFit="1" customWidth="1"/>
    <col min="10505" max="10505" width="12.5703125" customWidth="1"/>
    <col min="10506" max="10506" width="12.7109375" customWidth="1"/>
    <col min="10507" max="10507" width="8.28515625" customWidth="1"/>
    <col min="10509" max="10509" width="10.28515625" customWidth="1"/>
    <col min="10510" max="10510" width="14.7109375" customWidth="1"/>
    <col min="10754" max="10754" width="22.42578125" customWidth="1"/>
    <col min="10755" max="10755" width="17.28515625" customWidth="1"/>
    <col min="10756" max="10756" width="9.28515625" customWidth="1"/>
    <col min="10757" max="10757" width="9.42578125" customWidth="1"/>
    <col min="10758" max="10758" width="9.5703125" customWidth="1"/>
    <col min="10759" max="10759" width="9.42578125" customWidth="1"/>
    <col min="10760" max="10760" width="9.42578125" bestFit="1" customWidth="1"/>
    <col min="10761" max="10761" width="12.5703125" customWidth="1"/>
    <col min="10762" max="10762" width="12.7109375" customWidth="1"/>
    <col min="10763" max="10763" width="8.28515625" customWidth="1"/>
    <col min="10765" max="10765" width="10.28515625" customWidth="1"/>
    <col min="10766" max="10766" width="14.7109375" customWidth="1"/>
    <col min="11010" max="11010" width="22.42578125" customWidth="1"/>
    <col min="11011" max="11011" width="17.28515625" customWidth="1"/>
    <col min="11012" max="11012" width="9.28515625" customWidth="1"/>
    <col min="11013" max="11013" width="9.42578125" customWidth="1"/>
    <col min="11014" max="11014" width="9.5703125" customWidth="1"/>
    <col min="11015" max="11015" width="9.42578125" customWidth="1"/>
    <col min="11016" max="11016" width="9.42578125" bestFit="1" customWidth="1"/>
    <col min="11017" max="11017" width="12.5703125" customWidth="1"/>
    <col min="11018" max="11018" width="12.7109375" customWidth="1"/>
    <col min="11019" max="11019" width="8.28515625" customWidth="1"/>
    <col min="11021" max="11021" width="10.28515625" customWidth="1"/>
    <col min="11022" max="11022" width="14.7109375" customWidth="1"/>
    <col min="11266" max="11266" width="22.42578125" customWidth="1"/>
    <col min="11267" max="11267" width="17.28515625" customWidth="1"/>
    <col min="11268" max="11268" width="9.28515625" customWidth="1"/>
    <col min="11269" max="11269" width="9.42578125" customWidth="1"/>
    <col min="11270" max="11270" width="9.5703125" customWidth="1"/>
    <col min="11271" max="11271" width="9.42578125" customWidth="1"/>
    <col min="11272" max="11272" width="9.42578125" bestFit="1" customWidth="1"/>
    <col min="11273" max="11273" width="12.5703125" customWidth="1"/>
    <col min="11274" max="11274" width="12.7109375" customWidth="1"/>
    <col min="11275" max="11275" width="8.28515625" customWidth="1"/>
    <col min="11277" max="11277" width="10.28515625" customWidth="1"/>
    <col min="11278" max="11278" width="14.7109375" customWidth="1"/>
    <col min="11522" max="11522" width="22.42578125" customWidth="1"/>
    <col min="11523" max="11523" width="17.28515625" customWidth="1"/>
    <col min="11524" max="11524" width="9.28515625" customWidth="1"/>
    <col min="11525" max="11525" width="9.42578125" customWidth="1"/>
    <col min="11526" max="11526" width="9.5703125" customWidth="1"/>
    <col min="11527" max="11527" width="9.42578125" customWidth="1"/>
    <col min="11528" max="11528" width="9.42578125" bestFit="1" customWidth="1"/>
    <col min="11529" max="11529" width="12.5703125" customWidth="1"/>
    <col min="11530" max="11530" width="12.7109375" customWidth="1"/>
    <col min="11531" max="11531" width="8.28515625" customWidth="1"/>
    <col min="11533" max="11533" width="10.28515625" customWidth="1"/>
    <col min="11534" max="11534" width="14.7109375" customWidth="1"/>
    <col min="11778" max="11778" width="22.42578125" customWidth="1"/>
    <col min="11779" max="11779" width="17.28515625" customWidth="1"/>
    <col min="11780" max="11780" width="9.28515625" customWidth="1"/>
    <col min="11781" max="11781" width="9.42578125" customWidth="1"/>
    <col min="11782" max="11782" width="9.5703125" customWidth="1"/>
    <col min="11783" max="11783" width="9.42578125" customWidth="1"/>
    <col min="11784" max="11784" width="9.42578125" bestFit="1" customWidth="1"/>
    <col min="11785" max="11785" width="12.5703125" customWidth="1"/>
    <col min="11786" max="11786" width="12.7109375" customWidth="1"/>
    <col min="11787" max="11787" width="8.28515625" customWidth="1"/>
    <col min="11789" max="11789" width="10.28515625" customWidth="1"/>
    <col min="11790" max="11790" width="14.7109375" customWidth="1"/>
    <col min="12034" max="12034" width="22.42578125" customWidth="1"/>
    <col min="12035" max="12035" width="17.28515625" customWidth="1"/>
    <col min="12036" max="12036" width="9.28515625" customWidth="1"/>
    <col min="12037" max="12037" width="9.42578125" customWidth="1"/>
    <col min="12038" max="12038" width="9.5703125" customWidth="1"/>
    <col min="12039" max="12039" width="9.42578125" customWidth="1"/>
    <col min="12040" max="12040" width="9.42578125" bestFit="1" customWidth="1"/>
    <col min="12041" max="12041" width="12.5703125" customWidth="1"/>
    <col min="12042" max="12042" width="12.7109375" customWidth="1"/>
    <col min="12043" max="12043" width="8.28515625" customWidth="1"/>
    <col min="12045" max="12045" width="10.28515625" customWidth="1"/>
    <col min="12046" max="12046" width="14.7109375" customWidth="1"/>
    <col min="12290" max="12290" width="22.42578125" customWidth="1"/>
    <col min="12291" max="12291" width="17.28515625" customWidth="1"/>
    <col min="12292" max="12292" width="9.28515625" customWidth="1"/>
    <col min="12293" max="12293" width="9.42578125" customWidth="1"/>
    <col min="12294" max="12294" width="9.5703125" customWidth="1"/>
    <col min="12295" max="12295" width="9.42578125" customWidth="1"/>
    <col min="12296" max="12296" width="9.42578125" bestFit="1" customWidth="1"/>
    <col min="12297" max="12297" width="12.5703125" customWidth="1"/>
    <col min="12298" max="12298" width="12.7109375" customWidth="1"/>
    <col min="12299" max="12299" width="8.28515625" customWidth="1"/>
    <col min="12301" max="12301" width="10.28515625" customWidth="1"/>
    <col min="12302" max="12302" width="14.7109375" customWidth="1"/>
    <col min="12546" max="12546" width="22.42578125" customWidth="1"/>
    <col min="12547" max="12547" width="17.28515625" customWidth="1"/>
    <col min="12548" max="12548" width="9.28515625" customWidth="1"/>
    <col min="12549" max="12549" width="9.42578125" customWidth="1"/>
    <col min="12550" max="12550" width="9.5703125" customWidth="1"/>
    <col min="12551" max="12551" width="9.42578125" customWidth="1"/>
    <col min="12552" max="12552" width="9.42578125" bestFit="1" customWidth="1"/>
    <col min="12553" max="12553" width="12.5703125" customWidth="1"/>
    <col min="12554" max="12554" width="12.7109375" customWidth="1"/>
    <col min="12555" max="12555" width="8.28515625" customWidth="1"/>
    <col min="12557" max="12557" width="10.28515625" customWidth="1"/>
    <col min="12558" max="12558" width="14.7109375" customWidth="1"/>
    <col min="12802" max="12802" width="22.42578125" customWidth="1"/>
    <col min="12803" max="12803" width="17.28515625" customWidth="1"/>
    <col min="12804" max="12804" width="9.28515625" customWidth="1"/>
    <col min="12805" max="12805" width="9.42578125" customWidth="1"/>
    <col min="12806" max="12806" width="9.5703125" customWidth="1"/>
    <col min="12807" max="12807" width="9.42578125" customWidth="1"/>
    <col min="12808" max="12808" width="9.42578125" bestFit="1" customWidth="1"/>
    <col min="12809" max="12809" width="12.5703125" customWidth="1"/>
    <col min="12810" max="12810" width="12.7109375" customWidth="1"/>
    <col min="12811" max="12811" width="8.28515625" customWidth="1"/>
    <col min="12813" max="12813" width="10.28515625" customWidth="1"/>
    <col min="12814" max="12814" width="14.7109375" customWidth="1"/>
    <col min="13058" max="13058" width="22.42578125" customWidth="1"/>
    <col min="13059" max="13059" width="17.28515625" customWidth="1"/>
    <col min="13060" max="13060" width="9.28515625" customWidth="1"/>
    <col min="13061" max="13061" width="9.42578125" customWidth="1"/>
    <col min="13062" max="13062" width="9.5703125" customWidth="1"/>
    <col min="13063" max="13063" width="9.42578125" customWidth="1"/>
    <col min="13064" max="13064" width="9.42578125" bestFit="1" customWidth="1"/>
    <col min="13065" max="13065" width="12.5703125" customWidth="1"/>
    <col min="13066" max="13066" width="12.7109375" customWidth="1"/>
    <col min="13067" max="13067" width="8.28515625" customWidth="1"/>
    <col min="13069" max="13069" width="10.28515625" customWidth="1"/>
    <col min="13070" max="13070" width="14.7109375" customWidth="1"/>
    <col min="13314" max="13314" width="22.42578125" customWidth="1"/>
    <col min="13315" max="13315" width="17.28515625" customWidth="1"/>
    <col min="13316" max="13316" width="9.28515625" customWidth="1"/>
    <col min="13317" max="13317" width="9.42578125" customWidth="1"/>
    <col min="13318" max="13318" width="9.5703125" customWidth="1"/>
    <col min="13319" max="13319" width="9.42578125" customWidth="1"/>
    <col min="13320" max="13320" width="9.42578125" bestFit="1" customWidth="1"/>
    <col min="13321" max="13321" width="12.5703125" customWidth="1"/>
    <col min="13322" max="13322" width="12.7109375" customWidth="1"/>
    <col min="13323" max="13323" width="8.28515625" customWidth="1"/>
    <col min="13325" max="13325" width="10.28515625" customWidth="1"/>
    <col min="13326" max="13326" width="14.7109375" customWidth="1"/>
    <col min="13570" max="13570" width="22.42578125" customWidth="1"/>
    <col min="13571" max="13571" width="17.28515625" customWidth="1"/>
    <col min="13572" max="13572" width="9.28515625" customWidth="1"/>
    <col min="13573" max="13573" width="9.42578125" customWidth="1"/>
    <col min="13574" max="13574" width="9.5703125" customWidth="1"/>
    <col min="13575" max="13575" width="9.42578125" customWidth="1"/>
    <col min="13576" max="13576" width="9.42578125" bestFit="1" customWidth="1"/>
    <col min="13577" max="13577" width="12.5703125" customWidth="1"/>
    <col min="13578" max="13578" width="12.7109375" customWidth="1"/>
    <col min="13579" max="13579" width="8.28515625" customWidth="1"/>
    <col min="13581" max="13581" width="10.28515625" customWidth="1"/>
    <col min="13582" max="13582" width="14.7109375" customWidth="1"/>
    <col min="13826" max="13826" width="22.42578125" customWidth="1"/>
    <col min="13827" max="13827" width="17.28515625" customWidth="1"/>
    <col min="13828" max="13828" width="9.28515625" customWidth="1"/>
    <col min="13829" max="13829" width="9.42578125" customWidth="1"/>
    <col min="13830" max="13830" width="9.5703125" customWidth="1"/>
    <col min="13831" max="13831" width="9.42578125" customWidth="1"/>
    <col min="13832" max="13832" width="9.42578125" bestFit="1" customWidth="1"/>
    <col min="13833" max="13833" width="12.5703125" customWidth="1"/>
    <col min="13834" max="13834" width="12.7109375" customWidth="1"/>
    <col min="13835" max="13835" width="8.28515625" customWidth="1"/>
    <col min="13837" max="13837" width="10.28515625" customWidth="1"/>
    <col min="13838" max="13838" width="14.7109375" customWidth="1"/>
    <col min="14082" max="14082" width="22.42578125" customWidth="1"/>
    <col min="14083" max="14083" width="17.28515625" customWidth="1"/>
    <col min="14084" max="14084" width="9.28515625" customWidth="1"/>
    <col min="14085" max="14085" width="9.42578125" customWidth="1"/>
    <col min="14086" max="14086" width="9.5703125" customWidth="1"/>
    <col min="14087" max="14087" width="9.42578125" customWidth="1"/>
    <col min="14088" max="14088" width="9.42578125" bestFit="1" customWidth="1"/>
    <col min="14089" max="14089" width="12.5703125" customWidth="1"/>
    <col min="14090" max="14090" width="12.7109375" customWidth="1"/>
    <col min="14091" max="14091" width="8.28515625" customWidth="1"/>
    <col min="14093" max="14093" width="10.28515625" customWidth="1"/>
    <col min="14094" max="14094" width="14.7109375" customWidth="1"/>
    <col min="14338" max="14338" width="22.42578125" customWidth="1"/>
    <col min="14339" max="14339" width="17.28515625" customWidth="1"/>
    <col min="14340" max="14340" width="9.28515625" customWidth="1"/>
    <col min="14341" max="14341" width="9.42578125" customWidth="1"/>
    <col min="14342" max="14342" width="9.5703125" customWidth="1"/>
    <col min="14343" max="14343" width="9.42578125" customWidth="1"/>
    <col min="14344" max="14344" width="9.42578125" bestFit="1" customWidth="1"/>
    <col min="14345" max="14345" width="12.5703125" customWidth="1"/>
    <col min="14346" max="14346" width="12.7109375" customWidth="1"/>
    <col min="14347" max="14347" width="8.28515625" customWidth="1"/>
    <col min="14349" max="14349" width="10.28515625" customWidth="1"/>
    <col min="14350" max="14350" width="14.7109375" customWidth="1"/>
    <col min="14594" max="14594" width="22.42578125" customWidth="1"/>
    <col min="14595" max="14595" width="17.28515625" customWidth="1"/>
    <col min="14596" max="14596" width="9.28515625" customWidth="1"/>
    <col min="14597" max="14597" width="9.42578125" customWidth="1"/>
    <col min="14598" max="14598" width="9.5703125" customWidth="1"/>
    <col min="14599" max="14599" width="9.42578125" customWidth="1"/>
    <col min="14600" max="14600" width="9.42578125" bestFit="1" customWidth="1"/>
    <col min="14601" max="14601" width="12.5703125" customWidth="1"/>
    <col min="14602" max="14602" width="12.7109375" customWidth="1"/>
    <col min="14603" max="14603" width="8.28515625" customWidth="1"/>
    <col min="14605" max="14605" width="10.28515625" customWidth="1"/>
    <col min="14606" max="14606" width="14.7109375" customWidth="1"/>
    <col min="14850" max="14850" width="22.42578125" customWidth="1"/>
    <col min="14851" max="14851" width="17.28515625" customWidth="1"/>
    <col min="14852" max="14852" width="9.28515625" customWidth="1"/>
    <col min="14853" max="14853" width="9.42578125" customWidth="1"/>
    <col min="14854" max="14854" width="9.5703125" customWidth="1"/>
    <col min="14855" max="14855" width="9.42578125" customWidth="1"/>
    <col min="14856" max="14856" width="9.42578125" bestFit="1" customWidth="1"/>
    <col min="14857" max="14857" width="12.5703125" customWidth="1"/>
    <col min="14858" max="14858" width="12.7109375" customWidth="1"/>
    <col min="14859" max="14859" width="8.28515625" customWidth="1"/>
    <col min="14861" max="14861" width="10.28515625" customWidth="1"/>
    <col min="14862" max="14862" width="14.7109375" customWidth="1"/>
    <col min="15106" max="15106" width="22.42578125" customWidth="1"/>
    <col min="15107" max="15107" width="17.28515625" customWidth="1"/>
    <col min="15108" max="15108" width="9.28515625" customWidth="1"/>
    <col min="15109" max="15109" width="9.42578125" customWidth="1"/>
    <col min="15110" max="15110" width="9.5703125" customWidth="1"/>
    <col min="15111" max="15111" width="9.42578125" customWidth="1"/>
    <col min="15112" max="15112" width="9.42578125" bestFit="1" customWidth="1"/>
    <col min="15113" max="15113" width="12.5703125" customWidth="1"/>
    <col min="15114" max="15114" width="12.7109375" customWidth="1"/>
    <col min="15115" max="15115" width="8.28515625" customWidth="1"/>
    <col min="15117" max="15117" width="10.28515625" customWidth="1"/>
    <col min="15118" max="15118" width="14.7109375" customWidth="1"/>
    <col min="15362" max="15362" width="22.42578125" customWidth="1"/>
    <col min="15363" max="15363" width="17.28515625" customWidth="1"/>
    <col min="15364" max="15364" width="9.28515625" customWidth="1"/>
    <col min="15365" max="15365" width="9.42578125" customWidth="1"/>
    <col min="15366" max="15366" width="9.5703125" customWidth="1"/>
    <col min="15367" max="15367" width="9.42578125" customWidth="1"/>
    <col min="15368" max="15368" width="9.42578125" bestFit="1" customWidth="1"/>
    <col min="15369" max="15369" width="12.5703125" customWidth="1"/>
    <col min="15370" max="15370" width="12.7109375" customWidth="1"/>
    <col min="15371" max="15371" width="8.28515625" customWidth="1"/>
    <col min="15373" max="15373" width="10.28515625" customWidth="1"/>
    <col min="15374" max="15374" width="14.7109375" customWidth="1"/>
    <col min="15618" max="15618" width="22.42578125" customWidth="1"/>
    <col min="15619" max="15619" width="17.28515625" customWidth="1"/>
    <col min="15620" max="15620" width="9.28515625" customWidth="1"/>
    <col min="15621" max="15621" width="9.42578125" customWidth="1"/>
    <col min="15622" max="15622" width="9.5703125" customWidth="1"/>
    <col min="15623" max="15623" width="9.42578125" customWidth="1"/>
    <col min="15624" max="15624" width="9.42578125" bestFit="1" customWidth="1"/>
    <col min="15625" max="15625" width="12.5703125" customWidth="1"/>
    <col min="15626" max="15626" width="12.7109375" customWidth="1"/>
    <col min="15627" max="15627" width="8.28515625" customWidth="1"/>
    <col min="15629" max="15629" width="10.28515625" customWidth="1"/>
    <col min="15630" max="15630" width="14.7109375" customWidth="1"/>
    <col min="15874" max="15874" width="22.42578125" customWidth="1"/>
    <col min="15875" max="15875" width="17.28515625" customWidth="1"/>
    <col min="15876" max="15876" width="9.28515625" customWidth="1"/>
    <col min="15877" max="15877" width="9.42578125" customWidth="1"/>
    <col min="15878" max="15878" width="9.5703125" customWidth="1"/>
    <col min="15879" max="15879" width="9.42578125" customWidth="1"/>
    <col min="15880" max="15880" width="9.42578125" bestFit="1" customWidth="1"/>
    <col min="15881" max="15881" width="12.5703125" customWidth="1"/>
    <col min="15882" max="15882" width="12.7109375" customWidth="1"/>
    <col min="15883" max="15883" width="8.28515625" customWidth="1"/>
    <col min="15885" max="15885" width="10.28515625" customWidth="1"/>
    <col min="15886" max="15886" width="14.7109375" customWidth="1"/>
    <col min="16130" max="16130" width="22.42578125" customWidth="1"/>
    <col min="16131" max="16131" width="17.28515625" customWidth="1"/>
    <col min="16132" max="16132" width="9.28515625" customWidth="1"/>
    <col min="16133" max="16133" width="9.42578125" customWidth="1"/>
    <col min="16134" max="16134" width="9.5703125" customWidth="1"/>
    <col min="16135" max="16135" width="9.42578125" customWidth="1"/>
    <col min="16136" max="16136" width="9.42578125" bestFit="1" customWidth="1"/>
    <col min="16137" max="16137" width="12.5703125" customWidth="1"/>
    <col min="16138" max="16138" width="12.7109375" customWidth="1"/>
    <col min="16139" max="16139" width="8.28515625" customWidth="1"/>
    <col min="16141" max="16141" width="10.28515625" customWidth="1"/>
    <col min="16142" max="16142" width="14.7109375" customWidth="1"/>
  </cols>
  <sheetData>
    <row r="1" spans="2:15" ht="15.75" x14ac:dyDescent="0.25">
      <c r="B1" s="421" t="s">
        <v>0</v>
      </c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</row>
    <row r="2" spans="2:15" x14ac:dyDescent="0.25">
      <c r="B2" s="422" t="s">
        <v>52</v>
      </c>
      <c r="C2" s="422"/>
      <c r="D2" s="422"/>
      <c r="E2" s="422"/>
      <c r="F2" s="422"/>
      <c r="G2" s="422"/>
      <c r="H2" s="422"/>
      <c r="I2" s="422"/>
      <c r="J2" s="422"/>
      <c r="K2" s="422"/>
      <c r="L2" s="422"/>
      <c r="M2" s="422"/>
      <c r="N2" s="422"/>
      <c r="O2" s="422"/>
    </row>
    <row r="3" spans="2:15" x14ac:dyDescent="0.25">
      <c r="B3" s="9"/>
      <c r="C3" s="9"/>
      <c r="D3" s="9"/>
      <c r="E3" s="73"/>
      <c r="F3" s="73"/>
      <c r="G3" s="73"/>
      <c r="H3" s="73"/>
      <c r="I3" s="73"/>
      <c r="J3" s="72"/>
      <c r="K3" s="72"/>
      <c r="L3" s="73"/>
      <c r="M3" s="73"/>
      <c r="N3" s="72"/>
      <c r="O3" s="9"/>
    </row>
    <row r="4" spans="2:15" ht="15.75" x14ac:dyDescent="0.25">
      <c r="B4" s="421" t="s">
        <v>53</v>
      </c>
      <c r="C4" s="421"/>
      <c r="D4" s="421"/>
      <c r="E4" s="421"/>
      <c r="F4" s="421"/>
      <c r="G4" s="421"/>
      <c r="H4" s="421"/>
      <c r="I4" s="421"/>
      <c r="J4" s="421"/>
      <c r="K4" s="421"/>
      <c r="L4" s="421"/>
      <c r="M4" s="421"/>
      <c r="N4" s="421"/>
      <c r="O4" s="421"/>
    </row>
    <row r="5" spans="2:15" x14ac:dyDescent="0.25">
      <c r="B5" s="423" t="s">
        <v>569</v>
      </c>
      <c r="C5" s="423"/>
      <c r="D5" s="423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423"/>
    </row>
    <row r="6" spans="2:15" x14ac:dyDescent="0.25">
      <c r="B6" s="9"/>
      <c r="C6" s="9"/>
      <c r="D6" s="9"/>
      <c r="E6" s="73"/>
      <c r="F6" s="73"/>
      <c r="G6" s="73"/>
      <c r="H6" s="73"/>
      <c r="I6" s="73"/>
      <c r="J6" s="72"/>
      <c r="K6" s="72"/>
      <c r="L6" s="73"/>
      <c r="M6" s="73"/>
      <c r="N6" s="72"/>
      <c r="O6" s="9"/>
    </row>
    <row r="7" spans="2:15" x14ac:dyDescent="0.25">
      <c r="B7" s="424" t="s">
        <v>54</v>
      </c>
      <c r="C7" s="424"/>
      <c r="D7" s="424"/>
      <c r="E7" s="424"/>
      <c r="F7" s="424"/>
      <c r="G7" s="424"/>
      <c r="H7" s="424"/>
      <c r="I7" s="424"/>
      <c r="J7" s="424"/>
      <c r="K7" s="424"/>
      <c r="L7" s="424"/>
      <c r="M7" s="424"/>
      <c r="N7" s="424"/>
      <c r="O7" s="424"/>
    </row>
    <row r="8" spans="2:15" x14ac:dyDescent="0.25">
      <c r="B8" s="424" t="s">
        <v>55</v>
      </c>
      <c r="C8" s="424"/>
      <c r="D8" s="424"/>
      <c r="E8" s="424"/>
      <c r="F8" s="424"/>
      <c r="G8" s="424"/>
      <c r="H8" s="424"/>
      <c r="I8" s="424"/>
      <c r="J8" s="424"/>
      <c r="K8" s="424"/>
      <c r="L8" s="424"/>
      <c r="M8" s="424"/>
      <c r="N8" s="424"/>
      <c r="O8" s="424"/>
    </row>
    <row r="9" spans="2:15" x14ac:dyDescent="0.25">
      <c r="B9" s="9"/>
      <c r="C9" s="9"/>
      <c r="D9" s="9"/>
      <c r="E9" s="73"/>
      <c r="F9" s="73"/>
      <c r="G9" s="73"/>
      <c r="H9" s="73"/>
      <c r="I9" s="73"/>
      <c r="J9" s="72"/>
      <c r="K9" s="72"/>
      <c r="L9" s="73"/>
      <c r="M9" s="73"/>
      <c r="N9" s="72"/>
      <c r="O9" s="9"/>
    </row>
    <row r="10" spans="2:15" x14ac:dyDescent="0.25">
      <c r="B10" s="74"/>
      <c r="C10" s="74"/>
      <c r="D10" s="74"/>
      <c r="E10" s="107"/>
      <c r="F10" s="107"/>
      <c r="G10" s="107"/>
      <c r="H10" s="107"/>
      <c r="I10" s="107"/>
      <c r="J10" s="75"/>
      <c r="K10" s="425" t="s">
        <v>56</v>
      </c>
      <c r="L10" s="426"/>
      <c r="M10" s="427"/>
      <c r="N10" s="75"/>
      <c r="O10" s="76"/>
    </row>
    <row r="11" spans="2:15" x14ac:dyDescent="0.25">
      <c r="B11" s="79"/>
      <c r="C11" s="79"/>
      <c r="D11" s="79"/>
      <c r="E11" s="108" t="s">
        <v>57</v>
      </c>
      <c r="F11" s="108" t="s">
        <v>58</v>
      </c>
      <c r="G11" s="109" t="s">
        <v>59</v>
      </c>
      <c r="H11" s="109" t="s">
        <v>58</v>
      </c>
      <c r="I11" s="109" t="s">
        <v>71</v>
      </c>
      <c r="J11" s="77" t="s">
        <v>60</v>
      </c>
      <c r="K11" s="77" t="s">
        <v>61</v>
      </c>
      <c r="L11" s="81" t="s">
        <v>62</v>
      </c>
      <c r="M11" s="80" t="s">
        <v>63</v>
      </c>
      <c r="N11" s="81" t="s">
        <v>64</v>
      </c>
      <c r="O11" s="78" t="s">
        <v>65</v>
      </c>
    </row>
    <row r="12" spans="2:15" x14ac:dyDescent="0.25">
      <c r="B12" s="79" t="s">
        <v>66</v>
      </c>
      <c r="C12" s="79" t="s">
        <v>67</v>
      </c>
      <c r="D12" s="79" t="s">
        <v>68</v>
      </c>
      <c r="E12" s="108" t="s">
        <v>69</v>
      </c>
      <c r="F12" s="108" t="s">
        <v>97</v>
      </c>
      <c r="G12" s="109" t="s">
        <v>70</v>
      </c>
      <c r="H12" s="109" t="s">
        <v>57</v>
      </c>
      <c r="I12" s="109"/>
      <c r="J12" s="77" t="s">
        <v>72</v>
      </c>
      <c r="K12" s="77" t="s">
        <v>73</v>
      </c>
      <c r="L12" s="81"/>
      <c r="M12" s="80"/>
      <c r="N12" s="81" t="s">
        <v>74</v>
      </c>
      <c r="O12" s="82"/>
    </row>
    <row r="13" spans="2:15" x14ac:dyDescent="0.25">
      <c r="B13" s="110"/>
      <c r="C13" s="110"/>
      <c r="D13" s="110"/>
      <c r="E13" s="111"/>
      <c r="F13" s="111" t="s">
        <v>69</v>
      </c>
      <c r="G13" s="112"/>
      <c r="H13" s="112" t="s">
        <v>70</v>
      </c>
      <c r="I13" s="112"/>
      <c r="J13" s="113"/>
      <c r="K13" s="114" t="s">
        <v>75</v>
      </c>
      <c r="L13" s="84"/>
      <c r="M13" s="83"/>
      <c r="N13" s="115"/>
      <c r="O13" s="85"/>
    </row>
    <row r="14" spans="2:15" x14ac:dyDescent="0.25">
      <c r="B14" s="86" t="s">
        <v>76</v>
      </c>
      <c r="C14" s="87" t="s">
        <v>77</v>
      </c>
      <c r="D14" s="87" t="s">
        <v>80</v>
      </c>
      <c r="E14" s="88">
        <v>14600</v>
      </c>
      <c r="F14" s="89">
        <f>E14/2</f>
        <v>7300</v>
      </c>
      <c r="G14" s="161">
        <v>4000</v>
      </c>
      <c r="H14" s="161">
        <v>2000</v>
      </c>
      <c r="I14" s="116"/>
      <c r="J14" s="88">
        <f>F14+H14</f>
        <v>9300</v>
      </c>
      <c r="K14" s="117">
        <v>650</v>
      </c>
      <c r="L14" s="162">
        <v>200</v>
      </c>
      <c r="M14" s="88">
        <v>330.88</v>
      </c>
      <c r="N14" s="88">
        <f t="shared" ref="N14:N19" si="0">J14-K14-L14-M14</f>
        <v>8119.12</v>
      </c>
      <c r="O14" s="90"/>
    </row>
    <row r="15" spans="2:15" x14ac:dyDescent="0.25">
      <c r="B15" s="91" t="s">
        <v>78</v>
      </c>
      <c r="C15" s="87" t="s">
        <v>79</v>
      </c>
      <c r="D15" s="87" t="s">
        <v>80</v>
      </c>
      <c r="E15" s="92">
        <v>14600</v>
      </c>
      <c r="F15" s="93">
        <f t="shared" ref="F15:F19" si="1">E15/2</f>
        <v>7300</v>
      </c>
      <c r="G15" s="118">
        <v>4000</v>
      </c>
      <c r="H15" s="118">
        <v>2000</v>
      </c>
      <c r="I15" s="118"/>
      <c r="J15" s="88">
        <f>F15+H15</f>
        <v>9300</v>
      </c>
      <c r="K15" s="119">
        <v>650</v>
      </c>
      <c r="L15" s="94">
        <v>200</v>
      </c>
      <c r="M15" s="95">
        <v>250.83</v>
      </c>
      <c r="N15" s="88">
        <f t="shared" si="0"/>
        <v>8199.17</v>
      </c>
      <c r="O15" s="90"/>
    </row>
    <row r="16" spans="2:15" x14ac:dyDescent="0.25">
      <c r="B16" s="96" t="s">
        <v>15</v>
      </c>
      <c r="C16" s="87" t="s">
        <v>81</v>
      </c>
      <c r="D16" s="87" t="s">
        <v>80</v>
      </c>
      <c r="E16" s="92">
        <v>21369</v>
      </c>
      <c r="F16" s="93">
        <f t="shared" si="1"/>
        <v>10684.5</v>
      </c>
      <c r="G16" s="120">
        <v>4000</v>
      </c>
      <c r="H16" s="120">
        <v>2000</v>
      </c>
      <c r="I16" s="97"/>
      <c r="J16" s="88">
        <f>F16+H16</f>
        <v>12684.5</v>
      </c>
      <c r="K16" s="121">
        <v>1000</v>
      </c>
      <c r="L16" s="120">
        <v>200</v>
      </c>
      <c r="M16" s="120">
        <v>325</v>
      </c>
      <c r="N16" s="88">
        <f>J16-K16-L16-M16</f>
        <v>11159.5</v>
      </c>
      <c r="O16" s="90"/>
    </row>
    <row r="17" spans="2:15" x14ac:dyDescent="0.25">
      <c r="B17" s="91" t="s">
        <v>82</v>
      </c>
      <c r="C17" s="87" t="s">
        <v>83</v>
      </c>
      <c r="D17" s="87" t="s">
        <v>80</v>
      </c>
      <c r="E17" s="92">
        <v>14600</v>
      </c>
      <c r="F17" s="93">
        <f t="shared" si="1"/>
        <v>7300</v>
      </c>
      <c r="G17" s="95">
        <v>4000</v>
      </c>
      <c r="H17" s="95">
        <v>2000</v>
      </c>
      <c r="I17" s="95"/>
      <c r="J17" s="88">
        <f>F17+H17</f>
        <v>9300</v>
      </c>
      <c r="K17" s="121">
        <v>650</v>
      </c>
      <c r="L17" s="95">
        <v>200</v>
      </c>
      <c r="M17" s="95">
        <v>250</v>
      </c>
      <c r="N17" s="88">
        <f t="shared" si="0"/>
        <v>8200</v>
      </c>
      <c r="O17" s="90"/>
    </row>
    <row r="18" spans="2:15" x14ac:dyDescent="0.25">
      <c r="B18" s="91" t="s">
        <v>84</v>
      </c>
      <c r="C18" s="87" t="s">
        <v>85</v>
      </c>
      <c r="D18" s="87" t="s">
        <v>80</v>
      </c>
      <c r="E18" s="92">
        <v>21369</v>
      </c>
      <c r="F18" s="93">
        <f t="shared" si="1"/>
        <v>10684.5</v>
      </c>
      <c r="G18" s="122">
        <v>4000</v>
      </c>
      <c r="H18" s="122">
        <v>2000</v>
      </c>
      <c r="I18" s="123"/>
      <c r="J18" s="88">
        <f>F18+H18</f>
        <v>12684.5</v>
      </c>
      <c r="K18" s="121">
        <v>1000</v>
      </c>
      <c r="L18" s="120">
        <v>200</v>
      </c>
      <c r="M18" s="120">
        <v>325</v>
      </c>
      <c r="N18" s="88">
        <f t="shared" si="0"/>
        <v>11159.5</v>
      </c>
      <c r="O18" s="98"/>
    </row>
    <row r="19" spans="2:15" x14ac:dyDescent="0.25">
      <c r="B19" s="86" t="s">
        <v>5</v>
      </c>
      <c r="C19" s="87" t="s">
        <v>86</v>
      </c>
      <c r="D19" s="87" t="s">
        <v>80</v>
      </c>
      <c r="E19" s="92">
        <v>26869</v>
      </c>
      <c r="F19" s="93">
        <f t="shared" si="1"/>
        <v>13434.5</v>
      </c>
      <c r="G19" s="95">
        <v>5000</v>
      </c>
      <c r="H19" s="95">
        <v>2500</v>
      </c>
      <c r="I19" s="88">
        <v>2250</v>
      </c>
      <c r="J19" s="88">
        <f>F19+H19+I19</f>
        <v>18184.5</v>
      </c>
      <c r="K19" s="121">
        <v>1275</v>
      </c>
      <c r="L19" s="95">
        <v>200</v>
      </c>
      <c r="M19" s="95">
        <v>637.5</v>
      </c>
      <c r="N19" s="88">
        <f t="shared" si="0"/>
        <v>16072</v>
      </c>
      <c r="O19" s="98"/>
    </row>
    <row r="20" spans="2:15" x14ac:dyDescent="0.25">
      <c r="B20" s="428" t="s">
        <v>87</v>
      </c>
      <c r="C20" s="429"/>
      <c r="D20" s="429"/>
      <c r="E20" s="429"/>
      <c r="F20" s="429"/>
      <c r="G20" s="429"/>
      <c r="H20" s="429"/>
      <c r="I20" s="429"/>
      <c r="J20" s="429"/>
      <c r="K20" s="429"/>
      <c r="L20" s="429"/>
      <c r="M20" s="429"/>
      <c r="N20" s="429"/>
      <c r="O20" s="430"/>
    </row>
    <row r="21" spans="2:15" x14ac:dyDescent="0.25">
      <c r="B21" s="98"/>
      <c r="C21" s="98"/>
      <c r="D21" s="98"/>
      <c r="E21" s="95"/>
      <c r="F21" s="95"/>
      <c r="G21" s="95"/>
      <c r="H21" s="95"/>
      <c r="I21" s="95"/>
      <c r="J21" s="92"/>
      <c r="K21" s="92"/>
      <c r="L21" s="95"/>
      <c r="M21" s="95"/>
      <c r="N21" s="92"/>
      <c r="O21" s="98"/>
    </row>
    <row r="22" spans="2:15" x14ac:dyDescent="0.25">
      <c r="B22" s="98"/>
      <c r="C22" s="98"/>
      <c r="D22" s="98"/>
      <c r="E22" s="95"/>
      <c r="F22" s="95"/>
      <c r="G22" s="95"/>
      <c r="H22" s="95"/>
      <c r="I22" s="95"/>
      <c r="J22" s="92"/>
      <c r="K22" s="92"/>
      <c r="L22" s="95"/>
      <c r="M22" s="95"/>
      <c r="N22" s="92"/>
      <c r="O22" s="98"/>
    </row>
    <row r="23" spans="2:15" x14ac:dyDescent="0.25">
      <c r="B23" s="98"/>
      <c r="C23" s="98"/>
      <c r="D23" s="98"/>
      <c r="E23" s="95"/>
      <c r="F23" s="95"/>
      <c r="G23" s="95"/>
      <c r="H23" s="95"/>
      <c r="I23" s="95"/>
      <c r="J23" s="92"/>
      <c r="K23" s="92"/>
      <c r="L23" s="95"/>
      <c r="M23" s="95"/>
      <c r="N23" s="92"/>
      <c r="O23" s="98"/>
    </row>
    <row r="24" spans="2:15" x14ac:dyDescent="0.25">
      <c r="B24" s="98"/>
      <c r="C24" s="98"/>
      <c r="D24" s="98"/>
      <c r="E24" s="95"/>
      <c r="F24" s="95"/>
      <c r="G24" s="95"/>
      <c r="H24" s="95"/>
      <c r="I24" s="95"/>
      <c r="J24" s="92"/>
      <c r="K24" s="92"/>
      <c r="L24" s="95"/>
      <c r="M24" s="95"/>
      <c r="N24" s="92"/>
      <c r="O24" s="98"/>
    </row>
    <row r="25" spans="2:15" x14ac:dyDescent="0.25">
      <c r="B25" s="98"/>
      <c r="C25" s="98"/>
      <c r="D25" s="98"/>
      <c r="E25" s="95"/>
      <c r="F25" s="95"/>
      <c r="G25" s="95"/>
      <c r="H25" s="95"/>
      <c r="I25" s="95"/>
      <c r="J25" s="92"/>
      <c r="K25" s="92"/>
      <c r="L25" s="95"/>
      <c r="M25" s="95"/>
      <c r="N25" s="92"/>
      <c r="O25" s="98"/>
    </row>
    <row r="26" spans="2:15" x14ac:dyDescent="0.25">
      <c r="B26" s="98"/>
      <c r="C26" s="98"/>
      <c r="D26" s="98"/>
      <c r="E26" s="95"/>
      <c r="F26" s="95"/>
      <c r="G26" s="95"/>
      <c r="H26" s="95"/>
      <c r="I26" s="95"/>
      <c r="J26" s="92"/>
      <c r="K26" s="92"/>
      <c r="L26" s="95"/>
      <c r="M26" s="95"/>
      <c r="N26" s="92"/>
      <c r="O26" s="90"/>
    </row>
    <row r="27" spans="2:15" x14ac:dyDescent="0.25">
      <c r="B27" s="98"/>
      <c r="C27" s="98"/>
      <c r="D27" s="98"/>
      <c r="E27" s="95"/>
      <c r="F27" s="95"/>
      <c r="G27" s="95"/>
      <c r="H27" s="95"/>
      <c r="I27" s="95"/>
      <c r="J27" s="92"/>
      <c r="K27" s="92"/>
      <c r="L27" s="95"/>
      <c r="M27" s="95"/>
      <c r="N27" s="92"/>
      <c r="O27" s="90"/>
    </row>
    <row r="28" spans="2:15" x14ac:dyDescent="0.25">
      <c r="B28" s="98"/>
      <c r="C28" s="98"/>
      <c r="D28" s="98"/>
      <c r="E28" s="95"/>
      <c r="F28" s="95"/>
      <c r="G28" s="95"/>
      <c r="H28" s="95"/>
      <c r="I28" s="95"/>
      <c r="J28" s="92"/>
      <c r="K28" s="92"/>
      <c r="L28" s="95"/>
      <c r="M28" s="95"/>
      <c r="N28" s="92"/>
      <c r="O28" s="98"/>
    </row>
    <row r="29" spans="2:15" x14ac:dyDescent="0.25">
      <c r="B29" s="98"/>
      <c r="C29" s="98"/>
      <c r="D29" s="99" t="s">
        <v>32</v>
      </c>
      <c r="E29" s="88">
        <f t="shared" ref="E29:N29" si="2">SUM(E14:E28)</f>
        <v>113407</v>
      </c>
      <c r="F29" s="88">
        <f t="shared" si="2"/>
        <v>56703.5</v>
      </c>
      <c r="G29" s="88">
        <f t="shared" si="2"/>
        <v>25000</v>
      </c>
      <c r="H29" s="88">
        <f t="shared" si="2"/>
        <v>12500</v>
      </c>
      <c r="I29" s="88">
        <f t="shared" si="2"/>
        <v>2250</v>
      </c>
      <c r="J29" s="88">
        <f t="shared" si="2"/>
        <v>71453.5</v>
      </c>
      <c r="K29" s="88">
        <f t="shared" si="2"/>
        <v>5225</v>
      </c>
      <c r="L29" s="88">
        <f t="shared" si="2"/>
        <v>1200</v>
      </c>
      <c r="M29" s="88">
        <f t="shared" si="2"/>
        <v>2119.21</v>
      </c>
      <c r="N29" s="100">
        <f t="shared" si="2"/>
        <v>62909.29</v>
      </c>
      <c r="O29" s="90"/>
    </row>
    <row r="30" spans="2:15" x14ac:dyDescent="0.25">
      <c r="B30" s="101"/>
      <c r="C30" s="101"/>
      <c r="D30" s="102"/>
      <c r="E30" s="104"/>
      <c r="F30" s="104"/>
      <c r="G30" s="104"/>
      <c r="H30" s="104"/>
      <c r="I30" s="104"/>
      <c r="K30" s="103"/>
      <c r="L30" s="104"/>
      <c r="M30" s="104" t="s">
        <v>89</v>
      </c>
      <c r="N30" s="103"/>
      <c r="O30" s="105"/>
    </row>
    <row r="31" spans="2:15" x14ac:dyDescent="0.25">
      <c r="B31" s="101"/>
      <c r="C31" s="101"/>
      <c r="D31" s="102"/>
      <c r="E31" s="104"/>
      <c r="F31" s="104"/>
      <c r="G31" s="104"/>
      <c r="H31" s="104"/>
      <c r="I31" s="104"/>
      <c r="J31" s="103"/>
      <c r="K31" s="103"/>
      <c r="L31" s="104"/>
      <c r="M31" s="104" t="s">
        <v>90</v>
      </c>
      <c r="N31" s="103"/>
      <c r="O31" s="106"/>
    </row>
    <row r="32" spans="2:15" x14ac:dyDescent="0.25">
      <c r="B32" s="101" t="s">
        <v>12</v>
      </c>
      <c r="C32" s="101"/>
      <c r="D32" s="102"/>
      <c r="E32" s="104" t="s">
        <v>13</v>
      </c>
      <c r="F32" s="104"/>
      <c r="G32" s="104"/>
      <c r="H32" s="104"/>
      <c r="I32" s="104"/>
      <c r="J32" s="103"/>
      <c r="K32" s="124" t="s">
        <v>88</v>
      </c>
      <c r="L32" s="104"/>
      <c r="M32" s="104" t="s">
        <v>91</v>
      </c>
      <c r="N32" s="103"/>
      <c r="O32" s="106"/>
    </row>
    <row r="33" spans="2:15" x14ac:dyDescent="0.25">
      <c r="B33" s="101"/>
      <c r="C33" s="101"/>
      <c r="D33" s="102"/>
      <c r="E33" s="104"/>
      <c r="F33" s="104"/>
      <c r="G33" s="104"/>
      <c r="H33" s="104"/>
      <c r="I33" s="104"/>
      <c r="J33" s="103"/>
      <c r="K33" s="103"/>
      <c r="L33" s="104"/>
      <c r="M33" s="104" t="s">
        <v>92</v>
      </c>
      <c r="N33" s="103"/>
      <c r="O33" s="106"/>
    </row>
    <row r="34" spans="2:15" x14ac:dyDescent="0.25">
      <c r="B34" s="101"/>
      <c r="C34" s="101"/>
      <c r="D34" s="102"/>
      <c r="E34" s="104"/>
      <c r="F34" s="104"/>
      <c r="G34" s="104"/>
      <c r="H34" s="104"/>
      <c r="I34" s="104"/>
      <c r="J34" s="103"/>
      <c r="K34" s="103"/>
      <c r="L34" s="104"/>
      <c r="M34" s="104"/>
      <c r="N34" s="103"/>
      <c r="O34" s="106"/>
    </row>
    <row r="35" spans="2:15" ht="14.25" customHeight="1" x14ac:dyDescent="0.25">
      <c r="B35" s="431" t="s">
        <v>93</v>
      </c>
      <c r="C35" s="431"/>
      <c r="D35" s="431"/>
      <c r="E35" s="432" t="s">
        <v>94</v>
      </c>
      <c r="F35" s="432"/>
      <c r="G35" s="432"/>
      <c r="H35" s="125"/>
      <c r="I35" s="125"/>
      <c r="J35" s="126"/>
      <c r="K35" s="433" t="s">
        <v>22</v>
      </c>
      <c r="L35" s="433"/>
      <c r="M35" s="127"/>
      <c r="N35" s="103"/>
      <c r="O35" s="106"/>
    </row>
    <row r="36" spans="2:15" x14ac:dyDescent="0.25">
      <c r="B36" s="399" t="s">
        <v>95</v>
      </c>
      <c r="C36" s="399"/>
      <c r="D36" s="128"/>
      <c r="E36" s="419" t="s">
        <v>18</v>
      </c>
      <c r="F36" s="419"/>
      <c r="G36" s="419"/>
      <c r="H36" s="127"/>
      <c r="I36" s="127"/>
      <c r="J36" s="129"/>
      <c r="K36" s="420" t="s">
        <v>24</v>
      </c>
      <c r="L36" s="420"/>
      <c r="M36" s="127"/>
      <c r="N36" s="103"/>
      <c r="O36" s="106"/>
    </row>
    <row r="37" spans="2:15" x14ac:dyDescent="0.25">
      <c r="B37" s="101"/>
      <c r="C37" s="101"/>
      <c r="D37" s="102"/>
      <c r="E37" s="104"/>
      <c r="F37" s="104"/>
      <c r="G37" s="104"/>
      <c r="H37" s="104"/>
      <c r="I37" s="104"/>
      <c r="J37" s="103"/>
      <c r="K37" s="103"/>
      <c r="L37" s="104"/>
      <c r="M37" s="104"/>
      <c r="N37" s="103"/>
      <c r="O37" s="106"/>
    </row>
    <row r="38" spans="2:15" x14ac:dyDescent="0.25">
      <c r="B38" s="101"/>
      <c r="C38" s="101"/>
      <c r="D38" s="102"/>
      <c r="E38" s="104"/>
      <c r="F38" s="104"/>
      <c r="G38" s="104"/>
      <c r="H38" s="104"/>
      <c r="I38" s="104"/>
      <c r="J38" s="103"/>
      <c r="K38" s="103"/>
      <c r="L38" s="104"/>
      <c r="M38" s="104"/>
      <c r="N38" s="103"/>
      <c r="O38" s="105"/>
    </row>
    <row r="39" spans="2:15" x14ac:dyDescent="0.25">
      <c r="B39" s="101"/>
      <c r="C39" s="101"/>
      <c r="D39" s="102"/>
      <c r="E39" s="104"/>
      <c r="F39" s="104"/>
      <c r="G39" s="104"/>
      <c r="H39" s="104"/>
      <c r="I39" s="104"/>
      <c r="J39" s="103"/>
      <c r="K39" s="103"/>
      <c r="L39" s="104"/>
      <c r="M39" s="104"/>
      <c r="N39" s="103"/>
      <c r="O39" s="105"/>
    </row>
    <row r="40" spans="2:15" x14ac:dyDescent="0.25">
      <c r="B40" s="101"/>
      <c r="C40" s="101"/>
      <c r="D40" s="102"/>
      <c r="E40" s="104"/>
      <c r="F40" s="104"/>
      <c r="G40" s="104"/>
      <c r="H40" s="104"/>
      <c r="I40" s="104"/>
      <c r="J40" s="103"/>
      <c r="K40" s="103"/>
      <c r="L40" s="104"/>
      <c r="M40" s="104"/>
      <c r="N40" s="103"/>
      <c r="O40" s="105"/>
    </row>
    <row r="41" spans="2:15" x14ac:dyDescent="0.25">
      <c r="B41" s="101"/>
      <c r="C41" s="101"/>
      <c r="D41" s="102"/>
      <c r="E41" s="104"/>
      <c r="F41" s="104"/>
      <c r="G41" s="104"/>
      <c r="H41" s="104"/>
      <c r="I41" s="104"/>
      <c r="J41" s="103"/>
      <c r="K41" s="103"/>
      <c r="L41" s="104"/>
      <c r="M41" s="104"/>
      <c r="N41" s="103"/>
      <c r="O41" s="105"/>
    </row>
    <row r="42" spans="2:15" x14ac:dyDescent="0.25">
      <c r="B42" s="101"/>
      <c r="C42" s="101"/>
      <c r="E42" s="104"/>
      <c r="F42" s="104"/>
      <c r="G42" s="104"/>
      <c r="H42" s="104"/>
      <c r="I42" s="104"/>
      <c r="J42" s="103"/>
      <c r="K42" s="103"/>
      <c r="L42" s="104"/>
      <c r="M42" s="104"/>
      <c r="N42" s="103"/>
      <c r="O42" s="105"/>
    </row>
    <row r="43" spans="2:15" x14ac:dyDescent="0.25">
      <c r="B43" s="9"/>
      <c r="C43" s="9"/>
      <c r="D43" s="9"/>
      <c r="E43" s="73"/>
      <c r="F43" s="73"/>
      <c r="G43" s="73"/>
      <c r="H43" s="73"/>
      <c r="I43" s="73"/>
      <c r="J43" s="72"/>
      <c r="K43" s="72"/>
      <c r="L43" s="73"/>
      <c r="M43" s="73"/>
      <c r="N43" s="72"/>
      <c r="O43" s="9"/>
    </row>
    <row r="44" spans="2:15" x14ac:dyDescent="0.25">
      <c r="B44" s="9"/>
      <c r="C44" s="9"/>
      <c r="D44" s="9"/>
      <c r="E44" s="73"/>
      <c r="F44" s="73"/>
      <c r="G44" s="73"/>
      <c r="H44" s="73"/>
      <c r="I44" s="73"/>
      <c r="J44" s="72"/>
      <c r="K44" s="72"/>
      <c r="L44" s="73"/>
      <c r="M44" s="73"/>
      <c r="N44" s="72"/>
      <c r="O44" s="9"/>
    </row>
    <row r="45" spans="2:15" x14ac:dyDescent="0.25">
      <c r="B45" s="9"/>
      <c r="C45" s="9"/>
      <c r="D45" s="9"/>
      <c r="E45" s="73"/>
      <c r="F45" s="73"/>
      <c r="G45" s="73"/>
      <c r="H45" s="73"/>
      <c r="I45" s="73"/>
      <c r="J45" s="72"/>
      <c r="K45" s="72"/>
      <c r="L45" s="73"/>
      <c r="M45" s="73"/>
      <c r="N45" s="72"/>
      <c r="O45" s="9"/>
    </row>
    <row r="46" spans="2:15" x14ac:dyDescent="0.25">
      <c r="B46" s="9"/>
      <c r="C46" s="9"/>
      <c r="D46" s="9"/>
      <c r="E46" s="73"/>
      <c r="F46" s="73"/>
      <c r="G46" s="73"/>
      <c r="H46" s="73"/>
      <c r="I46" s="73"/>
      <c r="J46" s="72"/>
      <c r="K46" s="72"/>
      <c r="L46" s="73"/>
      <c r="M46" s="73"/>
      <c r="N46" s="72"/>
      <c r="O46" s="9"/>
    </row>
    <row r="47" spans="2:15" x14ac:dyDescent="0.25">
      <c r="B47" s="9"/>
      <c r="C47" s="9"/>
      <c r="D47" s="9"/>
      <c r="E47" s="73"/>
      <c r="F47" s="73"/>
      <c r="G47" s="73"/>
      <c r="H47" s="73"/>
      <c r="I47" s="73"/>
      <c r="J47" s="72"/>
      <c r="K47" s="72"/>
      <c r="L47" s="73"/>
      <c r="M47" s="73"/>
      <c r="N47" s="72"/>
      <c r="O47" s="9"/>
    </row>
    <row r="48" spans="2:15" x14ac:dyDescent="0.25">
      <c r="B48" s="9"/>
      <c r="C48" s="9"/>
      <c r="D48" s="9"/>
      <c r="E48" s="73"/>
      <c r="F48" s="73"/>
      <c r="G48" s="73"/>
      <c r="H48" s="73"/>
      <c r="I48" s="73"/>
      <c r="J48" s="72"/>
      <c r="K48" s="72"/>
      <c r="L48" s="73"/>
      <c r="M48" s="73"/>
      <c r="N48" s="72"/>
      <c r="O48" s="9"/>
    </row>
    <row r="49" spans="2:15" x14ac:dyDescent="0.25">
      <c r="B49" s="9"/>
      <c r="C49" s="9"/>
      <c r="D49" s="9"/>
      <c r="E49" s="73"/>
      <c r="F49" s="73"/>
      <c r="G49" s="73"/>
      <c r="H49" s="73"/>
      <c r="I49" s="73"/>
      <c r="J49" s="72"/>
      <c r="K49" s="72"/>
      <c r="L49" s="73"/>
      <c r="M49" s="73"/>
      <c r="N49" s="72"/>
      <c r="O49" s="9"/>
    </row>
    <row r="50" spans="2:15" x14ac:dyDescent="0.25">
      <c r="B50" s="9"/>
      <c r="C50" s="9"/>
      <c r="D50" s="9"/>
      <c r="E50" s="73"/>
      <c r="F50" s="73"/>
      <c r="G50" s="73"/>
      <c r="H50" s="73"/>
      <c r="I50" s="73"/>
      <c r="J50" s="72"/>
      <c r="K50" s="72"/>
      <c r="L50" s="73"/>
      <c r="M50" s="73"/>
      <c r="N50" s="72"/>
      <c r="O50" s="9"/>
    </row>
    <row r="51" spans="2:15" x14ac:dyDescent="0.25">
      <c r="B51" s="9"/>
      <c r="C51" s="9"/>
      <c r="D51" s="9"/>
      <c r="E51" s="73"/>
      <c r="F51" s="73"/>
      <c r="G51" s="73"/>
      <c r="H51" s="73"/>
      <c r="I51" s="73"/>
      <c r="J51" s="72"/>
      <c r="K51" s="72"/>
      <c r="L51" s="73"/>
      <c r="M51" s="73"/>
      <c r="N51" s="72"/>
      <c r="O51" s="9"/>
    </row>
    <row r="52" spans="2:15" x14ac:dyDescent="0.25">
      <c r="B52" s="9"/>
      <c r="C52" s="9"/>
      <c r="D52" s="9"/>
      <c r="E52" s="73"/>
      <c r="F52" s="73"/>
      <c r="G52" s="73"/>
      <c r="H52" s="73"/>
      <c r="I52" s="73"/>
      <c r="J52" s="72"/>
      <c r="K52" s="72"/>
      <c r="L52" s="73"/>
      <c r="M52" s="73"/>
      <c r="N52" s="72"/>
      <c r="O52" s="9"/>
    </row>
    <row r="53" spans="2:15" x14ac:dyDescent="0.25">
      <c r="B53" s="9"/>
      <c r="C53" s="9"/>
      <c r="D53" s="9"/>
      <c r="E53" s="73"/>
      <c r="F53" s="73"/>
      <c r="G53" s="73"/>
      <c r="H53" s="73"/>
      <c r="I53" s="73"/>
      <c r="J53" s="72"/>
      <c r="K53" s="72"/>
      <c r="L53" s="73"/>
      <c r="M53" s="73"/>
      <c r="N53" s="72"/>
      <c r="O53" s="9"/>
    </row>
    <row r="54" spans="2:15" x14ac:dyDescent="0.25">
      <c r="B54" s="9"/>
      <c r="C54" s="9"/>
      <c r="D54" s="9"/>
      <c r="E54" s="73"/>
      <c r="F54" s="73"/>
      <c r="G54" s="73"/>
      <c r="H54" s="73"/>
      <c r="I54" s="73"/>
      <c r="J54" s="72"/>
      <c r="K54" s="72"/>
      <c r="L54" s="73"/>
      <c r="M54" s="73"/>
      <c r="N54" s="72"/>
      <c r="O54" s="9"/>
    </row>
    <row r="55" spans="2:15" x14ac:dyDescent="0.25">
      <c r="B55" s="9"/>
      <c r="C55" s="9"/>
      <c r="D55" s="9"/>
      <c r="E55" s="73"/>
      <c r="F55" s="73"/>
      <c r="G55" s="73"/>
      <c r="H55" s="73"/>
      <c r="I55" s="73"/>
      <c r="J55" s="72"/>
      <c r="K55" s="72"/>
      <c r="L55" s="73"/>
      <c r="M55" s="73"/>
      <c r="N55" s="72"/>
      <c r="O55" s="9"/>
    </row>
    <row r="56" spans="2:15" x14ac:dyDescent="0.25">
      <c r="B56" s="9"/>
      <c r="C56" s="9"/>
      <c r="D56" s="9"/>
      <c r="E56" s="73"/>
      <c r="F56" s="73"/>
      <c r="G56" s="73"/>
      <c r="H56" s="73"/>
      <c r="I56" s="73"/>
      <c r="J56" s="72"/>
      <c r="K56" s="72"/>
      <c r="L56" s="73"/>
      <c r="M56" s="73"/>
      <c r="N56" s="72"/>
      <c r="O56" s="9"/>
    </row>
    <row r="57" spans="2:15" x14ac:dyDescent="0.25">
      <c r="B57" s="9"/>
      <c r="C57" s="9"/>
      <c r="D57" s="9"/>
      <c r="E57" s="73"/>
      <c r="F57" s="73"/>
      <c r="G57" s="73"/>
      <c r="H57" s="73"/>
      <c r="I57" s="73"/>
      <c r="J57" s="72"/>
      <c r="K57" s="72"/>
      <c r="L57" s="73"/>
      <c r="M57" s="73"/>
      <c r="N57" s="72"/>
      <c r="O57" s="9"/>
    </row>
    <row r="58" spans="2:15" x14ac:dyDescent="0.25">
      <c r="B58" s="9"/>
      <c r="C58" s="9"/>
      <c r="D58" s="9"/>
      <c r="E58" s="73"/>
      <c r="F58" s="73"/>
      <c r="G58" s="73"/>
      <c r="H58" s="73"/>
      <c r="I58" s="73"/>
      <c r="J58" s="72"/>
      <c r="K58" s="72"/>
      <c r="L58" s="73"/>
      <c r="M58" s="73"/>
      <c r="N58" s="72"/>
      <c r="O58" s="9"/>
    </row>
  </sheetData>
  <mergeCells count="13">
    <mergeCell ref="E36:G36"/>
    <mergeCell ref="K36:L36"/>
    <mergeCell ref="B1:O1"/>
    <mergeCell ref="B2:O2"/>
    <mergeCell ref="B4:O4"/>
    <mergeCell ref="B5:O5"/>
    <mergeCell ref="B7:O7"/>
    <mergeCell ref="B8:O8"/>
    <mergeCell ref="K10:M10"/>
    <mergeCell ref="B20:O20"/>
    <mergeCell ref="B35:D35"/>
    <mergeCell ref="E35:G35"/>
    <mergeCell ref="K35:L35"/>
  </mergeCells>
  <pageMargins left="0.7" right="0.7" top="0.75" bottom="0.75" header="0.3" footer="0.3"/>
  <pageSetup paperSize="14" scale="74" fitToHeight="0" orientation="landscape" horizontalDpi="0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1E340-4DAC-4E87-A5E7-76C07AE0A576}">
  <dimension ref="A1:J49"/>
  <sheetViews>
    <sheetView topLeftCell="A22" workbookViewId="0">
      <selection activeCell="L20" sqref="L20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1" style="41" customWidth="1"/>
    <col min="7" max="7" width="13.42578125" style="41" customWidth="1"/>
    <col min="8" max="8" width="24.8554687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575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46078</v>
      </c>
      <c r="I10" s="215"/>
    </row>
    <row r="11" spans="1:9" ht="15.75" x14ac:dyDescent="0.25">
      <c r="A11" s="470" t="s">
        <v>187</v>
      </c>
      <c r="B11" s="471"/>
      <c r="C11" s="474" t="s">
        <v>5</v>
      </c>
      <c r="D11" s="474"/>
      <c r="E11" s="474"/>
      <c r="F11" s="464"/>
      <c r="G11" s="447" t="s">
        <v>188</v>
      </c>
      <c r="H11" s="234" t="s">
        <v>216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217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 t="s">
        <v>576</v>
      </c>
      <c r="B15" s="220"/>
      <c r="C15" s="220"/>
      <c r="D15" s="220"/>
      <c r="E15" s="220"/>
      <c r="F15" s="221"/>
      <c r="G15" s="187"/>
      <c r="H15" s="188"/>
    </row>
    <row r="16" spans="1:9" ht="15.75" x14ac:dyDescent="0.2">
      <c r="A16" s="218" t="s">
        <v>577</v>
      </c>
      <c r="B16" s="70"/>
      <c r="C16" s="70"/>
      <c r="D16" s="70"/>
      <c r="E16" s="70"/>
      <c r="F16" s="219"/>
      <c r="G16" s="224"/>
      <c r="H16" s="225">
        <v>22433.4</v>
      </c>
    </row>
    <row r="17" spans="1:10" x14ac:dyDescent="0.2">
      <c r="A17" s="218"/>
      <c r="B17" s="70"/>
      <c r="C17" s="70"/>
      <c r="D17" s="70"/>
      <c r="E17" s="70"/>
      <c r="F17" s="219"/>
      <c r="G17" s="187"/>
      <c r="H17" s="188"/>
    </row>
    <row r="18" spans="1:10" x14ac:dyDescent="0.2">
      <c r="A18" s="272"/>
      <c r="F18" s="188"/>
      <c r="G18" s="187"/>
      <c r="H18" s="188"/>
    </row>
    <row r="19" spans="1:10" x14ac:dyDescent="0.2">
      <c r="A19" s="272"/>
      <c r="F19" s="188"/>
      <c r="G19" s="187"/>
      <c r="H19" s="188"/>
    </row>
    <row r="20" spans="1:10" x14ac:dyDescent="0.2">
      <c r="A20" s="272"/>
      <c r="F20" s="188"/>
      <c r="G20" s="187"/>
      <c r="H20" s="188"/>
    </row>
    <row r="21" spans="1:10" x14ac:dyDescent="0.2">
      <c r="A21" s="192"/>
      <c r="B21" s="193"/>
      <c r="C21" s="193"/>
      <c r="D21" s="193"/>
      <c r="E21" s="193"/>
      <c r="F21" s="194"/>
      <c r="G21" s="192"/>
      <c r="H21" s="194"/>
    </row>
    <row r="22" spans="1:10" x14ac:dyDescent="0.2">
      <c r="A22" s="192"/>
      <c r="B22" s="193"/>
      <c r="C22" s="193"/>
      <c r="D22" s="193"/>
      <c r="E22" s="193"/>
      <c r="F22" s="193"/>
      <c r="G22" s="193"/>
      <c r="H22" s="194"/>
    </row>
    <row r="23" spans="1:10" ht="15.75" x14ac:dyDescent="0.25">
      <c r="A23" s="477" t="s">
        <v>191</v>
      </c>
      <c r="B23" s="481"/>
      <c r="C23" s="481"/>
      <c r="D23" s="481"/>
      <c r="E23" s="480"/>
      <c r="F23" s="482" t="s">
        <v>192</v>
      </c>
      <c r="G23" s="483"/>
      <c r="H23" s="195" t="s">
        <v>193</v>
      </c>
    </row>
    <row r="24" spans="1:10" x14ac:dyDescent="0.2">
      <c r="A24" s="226" t="s">
        <v>125</v>
      </c>
      <c r="B24" s="197"/>
      <c r="C24" s="197"/>
      <c r="D24" s="197"/>
      <c r="E24" s="197"/>
      <c r="F24" s="549">
        <v>5225</v>
      </c>
      <c r="G24" s="550"/>
      <c r="H24" s="400"/>
      <c r="J24" s="41" t="s">
        <v>196</v>
      </c>
    </row>
    <row r="25" spans="1:10" x14ac:dyDescent="0.2">
      <c r="A25" s="226" t="s">
        <v>116</v>
      </c>
      <c r="C25" s="197"/>
      <c r="D25" s="197"/>
      <c r="E25" s="197"/>
      <c r="F25" s="549">
        <v>10570</v>
      </c>
      <c r="G25" s="550"/>
      <c r="H25" s="230"/>
    </row>
    <row r="26" spans="1:10" x14ac:dyDescent="0.2">
      <c r="A26" s="226" t="s">
        <v>578</v>
      </c>
      <c r="B26" s="197"/>
      <c r="C26" s="197"/>
      <c r="D26" s="197"/>
      <c r="E26" s="197"/>
      <c r="F26" s="549">
        <v>2119.19</v>
      </c>
      <c r="G26" s="550"/>
      <c r="H26" s="227"/>
    </row>
    <row r="27" spans="1:10" x14ac:dyDescent="0.2">
      <c r="A27" s="231" t="s">
        <v>118</v>
      </c>
      <c r="B27" s="231"/>
      <c r="C27" s="197"/>
      <c r="D27" s="197"/>
      <c r="E27" s="197"/>
      <c r="F27" s="549">
        <v>2119.21</v>
      </c>
      <c r="G27" s="550"/>
      <c r="H27" s="294"/>
    </row>
    <row r="28" spans="1:10" x14ac:dyDescent="0.2">
      <c r="A28" s="226" t="s">
        <v>126</v>
      </c>
      <c r="B28" s="231"/>
      <c r="C28" s="197"/>
      <c r="D28" s="197"/>
      <c r="E28" s="197"/>
      <c r="F28" s="549">
        <v>1200</v>
      </c>
      <c r="G28" s="550"/>
      <c r="H28" s="294"/>
    </row>
    <row r="29" spans="1:10" x14ac:dyDescent="0.2">
      <c r="A29" s="231" t="s">
        <v>117</v>
      </c>
      <c r="B29" s="231"/>
      <c r="C29" s="197"/>
      <c r="D29" s="197"/>
      <c r="E29" s="197"/>
      <c r="F29" s="549">
        <v>1200</v>
      </c>
      <c r="G29" s="550"/>
      <c r="H29" s="294"/>
    </row>
    <row r="30" spans="1:10" x14ac:dyDescent="0.2">
      <c r="A30" s="196"/>
      <c r="B30" s="231" t="s">
        <v>36</v>
      </c>
      <c r="C30" s="197"/>
      <c r="D30" s="197"/>
      <c r="E30" s="199"/>
      <c r="F30" s="486"/>
      <c r="G30" s="486"/>
      <c r="H30" s="294">
        <f>SUM(F24:G29)</f>
        <v>22433.399999999998</v>
      </c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13</v>
      </c>
      <c r="F32" s="201"/>
      <c r="G32" s="202"/>
      <c r="H32" s="203" t="s">
        <v>14</v>
      </c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187"/>
      <c r="D34" s="188"/>
      <c r="E34" s="187"/>
      <c r="G34" s="188"/>
      <c r="H34" s="204"/>
    </row>
    <row r="35" spans="1:8" x14ac:dyDescent="0.2">
      <c r="A35" s="232" t="s">
        <v>15</v>
      </c>
      <c r="B35" s="205"/>
      <c r="C35" s="205"/>
      <c r="D35" s="206"/>
      <c r="E35" s="487" t="s">
        <v>5</v>
      </c>
      <c r="F35" s="48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H38" s="188"/>
    </row>
    <row r="39" spans="1:8" x14ac:dyDescent="0.2">
      <c r="A39" s="187"/>
      <c r="H39" s="188"/>
    </row>
    <row r="40" spans="1:8" ht="15.75" customHeight="1" x14ac:dyDescent="0.2">
      <c r="A40" s="490" t="s">
        <v>21</v>
      </c>
      <c r="B40" s="491"/>
      <c r="C40" s="491"/>
      <c r="D40" s="491"/>
      <c r="E40" s="491"/>
      <c r="F40" s="491" t="s">
        <v>22</v>
      </c>
      <c r="G40" s="491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579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237" t="s">
        <v>580</v>
      </c>
      <c r="G43" s="209" t="s">
        <v>195</v>
      </c>
      <c r="H43" s="238"/>
    </row>
    <row r="44" spans="1:8" x14ac:dyDescent="0.2">
      <c r="A44" s="210"/>
      <c r="G44" s="209" t="s">
        <v>186</v>
      </c>
      <c r="H44" s="188"/>
    </row>
    <row r="45" spans="1:8" x14ac:dyDescent="0.2">
      <c r="A45" s="187"/>
      <c r="H45" s="188"/>
    </row>
    <row r="46" spans="1:8" x14ac:dyDescent="0.2">
      <c r="A46" s="187"/>
      <c r="H46" s="188"/>
    </row>
    <row r="47" spans="1:8" ht="15.75" thickBot="1" x14ac:dyDescent="0.25">
      <c r="A47" s="187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4"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  <mergeCell ref="F31:G31"/>
    <mergeCell ref="A13:F13"/>
    <mergeCell ref="G13:H13"/>
    <mergeCell ref="A23:E23"/>
    <mergeCell ref="F23:G23"/>
    <mergeCell ref="F24:G24"/>
    <mergeCell ref="F25:G25"/>
    <mergeCell ref="F26:G26"/>
    <mergeCell ref="F27:G27"/>
    <mergeCell ref="F28:G28"/>
    <mergeCell ref="F29:G29"/>
    <mergeCell ref="F30:G30"/>
    <mergeCell ref="A41:E41"/>
    <mergeCell ref="F41:H41"/>
    <mergeCell ref="G48:H48"/>
    <mergeCell ref="E35:G35"/>
    <mergeCell ref="A36:D36"/>
    <mergeCell ref="E36:G36"/>
    <mergeCell ref="A37:E37"/>
    <mergeCell ref="F37:H37"/>
    <mergeCell ref="A40:E40"/>
    <mergeCell ref="F40:H40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2993" r:id="rId4" name="Check Box 1">
              <controlPr defaultSize="0" autoFill="0" autoLine="0" autoPict="0">
                <anchor moveWithCells="1">
                  <from>
                    <xdr:col>2</xdr:col>
                    <xdr:colOff>133350</xdr:colOff>
                    <xdr:row>4</xdr:row>
                    <xdr:rowOff>190500</xdr:rowOff>
                  </from>
                  <to>
                    <xdr:col>2</xdr:col>
                    <xdr:colOff>371475</xdr:colOff>
                    <xdr:row>13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94" r:id="rId5" name="Check Box 2">
              <controlPr defaultSize="0" autoFill="0" autoLine="0" autoPict="0">
                <anchor moveWithCells="1">
                  <from>
                    <xdr:col>4</xdr:col>
                    <xdr:colOff>180975</xdr:colOff>
                    <xdr:row>4</xdr:row>
                    <xdr:rowOff>190500</xdr:rowOff>
                  </from>
                  <to>
                    <xdr:col>4</xdr:col>
                    <xdr:colOff>419100</xdr:colOff>
                    <xdr:row>13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ABCA9-8BC9-4806-A216-770632C7EF51}">
  <dimension ref="A1:J49"/>
  <sheetViews>
    <sheetView workbookViewId="0">
      <selection activeCell="C10" sqref="C10:D10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1" style="41" customWidth="1"/>
    <col min="7" max="7" width="13.42578125" style="41" customWidth="1"/>
    <col min="8" max="8" width="24.8554687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581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185</v>
      </c>
      <c r="F10" s="469"/>
      <c r="G10" s="214" t="s">
        <v>186</v>
      </c>
      <c r="H10" s="190">
        <v>46078</v>
      </c>
      <c r="I10" s="215"/>
    </row>
    <row r="11" spans="1:9" ht="15.75" x14ac:dyDescent="0.25">
      <c r="A11" s="470" t="s">
        <v>187</v>
      </c>
      <c r="B11" s="471"/>
      <c r="C11" s="474" t="s">
        <v>5</v>
      </c>
      <c r="D11" s="474"/>
      <c r="E11" s="474"/>
      <c r="F11" s="464"/>
      <c r="G11" s="447" t="s">
        <v>188</v>
      </c>
      <c r="H11" s="234" t="s">
        <v>368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201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B15" s="220"/>
      <c r="C15" s="220"/>
      <c r="D15" s="220"/>
      <c r="E15" s="220"/>
      <c r="F15" s="221"/>
      <c r="G15" s="187"/>
      <c r="H15" s="188"/>
    </row>
    <row r="16" spans="1:9" x14ac:dyDescent="0.2">
      <c r="B16" s="220"/>
      <c r="C16" s="220"/>
      <c r="D16" s="220"/>
      <c r="E16" s="220"/>
      <c r="F16" s="221"/>
      <c r="G16" s="187"/>
      <c r="H16" s="188"/>
    </row>
    <row r="17" spans="1:10" ht="15.75" x14ac:dyDescent="0.2">
      <c r="A17" s="222" t="s">
        <v>582</v>
      </c>
      <c r="B17" s="70"/>
      <c r="C17" s="70"/>
      <c r="D17" s="70"/>
      <c r="E17" s="70"/>
      <c r="F17" s="219"/>
      <c r="G17" s="224"/>
      <c r="H17" s="225">
        <v>17650</v>
      </c>
    </row>
    <row r="18" spans="1:10" x14ac:dyDescent="0.2">
      <c r="A18" s="218" t="s">
        <v>583</v>
      </c>
      <c r="B18" s="70"/>
      <c r="C18" s="70"/>
      <c r="D18" s="70"/>
      <c r="E18" s="70"/>
      <c r="F18" s="331"/>
      <c r="G18" s="187"/>
      <c r="H18" s="188"/>
    </row>
    <row r="19" spans="1:10" x14ac:dyDescent="0.2">
      <c r="A19" s="218"/>
      <c r="F19" s="339"/>
      <c r="G19" s="187"/>
      <c r="H19" s="188"/>
    </row>
    <row r="20" spans="1:10" x14ac:dyDescent="0.2">
      <c r="A20" s="218"/>
      <c r="F20" s="340"/>
      <c r="G20" s="187"/>
      <c r="H20" s="188"/>
    </row>
    <row r="21" spans="1:10" x14ac:dyDescent="0.2">
      <c r="A21" s="272"/>
      <c r="F21" s="188"/>
      <c r="G21" s="187"/>
      <c r="H21" s="188"/>
    </row>
    <row r="22" spans="1:10" x14ac:dyDescent="0.2">
      <c r="A22" s="272"/>
      <c r="F22" s="188"/>
      <c r="G22" s="187"/>
      <c r="H22" s="188"/>
    </row>
    <row r="23" spans="1:10" x14ac:dyDescent="0.2">
      <c r="A23" s="192"/>
      <c r="B23" s="193"/>
      <c r="C23" s="193"/>
      <c r="D23" s="193"/>
      <c r="E23" s="193"/>
      <c r="F23" s="194"/>
      <c r="G23" s="192"/>
      <c r="H23" s="194"/>
    </row>
    <row r="24" spans="1:10" x14ac:dyDescent="0.2">
      <c r="A24" s="192"/>
      <c r="B24" s="193"/>
      <c r="C24" s="193"/>
      <c r="D24" s="193"/>
      <c r="E24" s="193"/>
      <c r="F24" s="193"/>
      <c r="G24" s="193"/>
      <c r="H24" s="194"/>
    </row>
    <row r="25" spans="1:10" ht="15.75" x14ac:dyDescent="0.25">
      <c r="A25" s="477" t="s">
        <v>191</v>
      </c>
      <c r="B25" s="481"/>
      <c r="C25" s="481"/>
      <c r="D25" s="481"/>
      <c r="E25" s="480"/>
      <c r="F25" s="482" t="s">
        <v>192</v>
      </c>
      <c r="G25" s="483"/>
      <c r="H25" s="195" t="s">
        <v>193</v>
      </c>
    </row>
    <row r="26" spans="1:10" x14ac:dyDescent="0.2">
      <c r="A26" s="226" t="s">
        <v>584</v>
      </c>
      <c r="B26" s="197"/>
      <c r="C26" s="197"/>
      <c r="D26" s="197"/>
      <c r="E26" s="197"/>
      <c r="F26" s="484">
        <v>17650</v>
      </c>
      <c r="G26" s="484"/>
      <c r="H26" s="400"/>
      <c r="J26" s="41" t="s">
        <v>196</v>
      </c>
    </row>
    <row r="27" spans="1:10" x14ac:dyDescent="0.2">
      <c r="A27" s="226"/>
      <c r="B27" s="70" t="s">
        <v>11</v>
      </c>
      <c r="C27" s="197"/>
      <c r="D27" s="197"/>
      <c r="E27" s="197"/>
      <c r="F27" s="484"/>
      <c r="G27" s="484"/>
      <c r="H27" s="230">
        <f>SUM(F26)</f>
        <v>17650</v>
      </c>
    </row>
    <row r="28" spans="1:10" x14ac:dyDescent="0.2">
      <c r="A28" s="226"/>
      <c r="B28" s="197"/>
      <c r="C28" s="197"/>
      <c r="D28" s="197"/>
      <c r="E28" s="197"/>
      <c r="F28" s="484"/>
      <c r="G28" s="484"/>
      <c r="H28" s="227"/>
    </row>
    <row r="29" spans="1:10" x14ac:dyDescent="0.2">
      <c r="A29" s="226"/>
      <c r="C29" s="197"/>
      <c r="D29" s="197"/>
      <c r="E29" s="197"/>
      <c r="F29" s="484"/>
      <c r="G29" s="484"/>
      <c r="H29" s="227"/>
    </row>
    <row r="30" spans="1:10" x14ac:dyDescent="0.2">
      <c r="A30" s="196"/>
      <c r="B30" s="231"/>
      <c r="C30" s="197"/>
      <c r="D30" s="197"/>
      <c r="E30" s="199"/>
      <c r="F30" s="486"/>
      <c r="G30" s="486"/>
      <c r="H30" s="294"/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13</v>
      </c>
      <c r="F32" s="201"/>
      <c r="G32" s="202"/>
      <c r="H32" s="203" t="s">
        <v>14</v>
      </c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187"/>
      <c r="D34" s="188"/>
      <c r="E34" s="187"/>
      <c r="G34" s="188"/>
      <c r="H34" s="204"/>
    </row>
    <row r="35" spans="1:8" x14ac:dyDescent="0.2">
      <c r="A35" s="232" t="s">
        <v>15</v>
      </c>
      <c r="B35" s="205"/>
      <c r="C35" s="205"/>
      <c r="D35" s="206"/>
      <c r="E35" s="487" t="s">
        <v>5</v>
      </c>
      <c r="F35" s="48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H38" s="188"/>
    </row>
    <row r="39" spans="1:8" x14ac:dyDescent="0.2">
      <c r="A39" s="187"/>
      <c r="H39" s="188"/>
    </row>
    <row r="40" spans="1:8" ht="15.75" customHeight="1" x14ac:dyDescent="0.2">
      <c r="A40" s="490" t="s">
        <v>21</v>
      </c>
      <c r="B40" s="491"/>
      <c r="C40" s="491"/>
      <c r="D40" s="491"/>
      <c r="E40" s="491"/>
      <c r="F40" s="491" t="s">
        <v>22</v>
      </c>
      <c r="G40" s="491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585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405" t="s">
        <v>586</v>
      </c>
      <c r="G43" s="209" t="s">
        <v>195</v>
      </c>
      <c r="H43" s="238"/>
    </row>
    <row r="44" spans="1:8" x14ac:dyDescent="0.2">
      <c r="A44" s="210"/>
      <c r="G44" s="209" t="s">
        <v>186</v>
      </c>
      <c r="H44" s="188"/>
    </row>
    <row r="45" spans="1:8" x14ac:dyDescent="0.2">
      <c r="A45" s="187"/>
      <c r="H45" s="188"/>
    </row>
    <row r="46" spans="1:8" x14ac:dyDescent="0.2">
      <c r="A46" s="187"/>
      <c r="H46" s="188"/>
    </row>
    <row r="47" spans="1:8" ht="15.75" thickBot="1" x14ac:dyDescent="0.25">
      <c r="A47" s="187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2"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  <mergeCell ref="A36:D36"/>
    <mergeCell ref="E36:G36"/>
    <mergeCell ref="A13:F13"/>
    <mergeCell ref="G13:H13"/>
    <mergeCell ref="A25:E25"/>
    <mergeCell ref="F25:G25"/>
    <mergeCell ref="F26:G26"/>
    <mergeCell ref="F27:G27"/>
    <mergeCell ref="F28:G28"/>
    <mergeCell ref="F29:G29"/>
    <mergeCell ref="F30:G30"/>
    <mergeCell ref="F31:G31"/>
    <mergeCell ref="E35:G35"/>
    <mergeCell ref="G48:H48"/>
    <mergeCell ref="A37:E37"/>
    <mergeCell ref="F37:H37"/>
    <mergeCell ref="A40:E40"/>
    <mergeCell ref="F40:H40"/>
    <mergeCell ref="A41:E41"/>
    <mergeCell ref="F41:H41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0401" r:id="rId4" name="Check Box 1">
              <controlPr defaultSize="0" autoFill="0" autoLine="0" autoPict="0">
                <anchor moveWithCells="1">
                  <from>
                    <xdr:col>2</xdr:col>
                    <xdr:colOff>104775</xdr:colOff>
                    <xdr:row>2</xdr:row>
                    <xdr:rowOff>47625</xdr:rowOff>
                  </from>
                  <to>
                    <xdr:col>2</xdr:col>
                    <xdr:colOff>342900</xdr:colOff>
                    <xdr:row>16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0402" r:id="rId5" name="Check Box 2">
              <controlPr defaultSize="0" autoFill="0" autoLine="0" autoPict="0">
                <anchor moveWithCells="1">
                  <from>
                    <xdr:col>4</xdr:col>
                    <xdr:colOff>200025</xdr:colOff>
                    <xdr:row>2</xdr:row>
                    <xdr:rowOff>47625</xdr:rowOff>
                  </from>
                  <to>
                    <xdr:col>4</xdr:col>
                    <xdr:colOff>438150</xdr:colOff>
                    <xdr:row>16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01CBE-29D6-439E-8D63-8A3D5FAA2244}">
  <dimension ref="A1:J49"/>
  <sheetViews>
    <sheetView tabSelected="1" workbookViewId="0">
      <selection activeCell="L11" sqref="L11"/>
    </sheetView>
  </sheetViews>
  <sheetFormatPr defaultRowHeight="15" x14ac:dyDescent="0.2"/>
  <cols>
    <col min="1" max="1" width="9.140625" style="41"/>
    <col min="2" max="2" width="4.85546875" style="41" customWidth="1"/>
    <col min="3" max="3" width="7.5703125" style="41" customWidth="1"/>
    <col min="4" max="5" width="8.140625" style="41" customWidth="1"/>
    <col min="6" max="6" width="12.28515625" style="41" customWidth="1"/>
    <col min="7" max="7" width="11.85546875" style="41" customWidth="1"/>
    <col min="8" max="8" width="24.85546875" style="41" customWidth="1"/>
    <col min="9" max="9" width="15.7109375" style="41" customWidth="1"/>
    <col min="10" max="16384" width="9.140625" style="41"/>
  </cols>
  <sheetData>
    <row r="1" spans="1:9" x14ac:dyDescent="0.2">
      <c r="A1" s="184"/>
      <c r="B1" s="185"/>
      <c r="C1" s="185"/>
      <c r="D1" s="185"/>
      <c r="E1" s="185"/>
      <c r="F1" s="185"/>
      <c r="G1" s="185"/>
      <c r="H1" s="186"/>
    </row>
    <row r="2" spans="1:9" x14ac:dyDescent="0.2">
      <c r="A2" s="187"/>
      <c r="H2" s="188"/>
    </row>
    <row r="3" spans="1:9" x14ac:dyDescent="0.2">
      <c r="A3" s="187"/>
      <c r="H3" s="188"/>
    </row>
    <row r="4" spans="1:9" x14ac:dyDescent="0.2">
      <c r="A4" s="187"/>
      <c r="D4" s="128"/>
      <c r="E4" s="128"/>
      <c r="F4" s="128"/>
      <c r="G4" s="128"/>
      <c r="H4" s="189"/>
      <c r="I4" s="128"/>
    </row>
    <row r="5" spans="1:9" ht="15.75" customHeight="1" x14ac:dyDescent="0.2">
      <c r="A5" s="449" t="s">
        <v>0</v>
      </c>
      <c r="B5" s="422"/>
      <c r="C5" s="422"/>
      <c r="D5" s="422"/>
      <c r="E5" s="422"/>
      <c r="F5" s="422"/>
      <c r="G5" s="422"/>
      <c r="H5" s="450"/>
      <c r="I5" s="70"/>
    </row>
    <row r="6" spans="1:9" ht="15.75" customHeight="1" x14ac:dyDescent="0.2">
      <c r="A6" s="451" t="s">
        <v>1</v>
      </c>
      <c r="B6" s="452"/>
      <c r="C6" s="452"/>
      <c r="D6" s="452"/>
      <c r="E6" s="452"/>
      <c r="F6" s="452"/>
      <c r="G6" s="452"/>
      <c r="H6" s="453"/>
      <c r="I6" s="70"/>
    </row>
    <row r="7" spans="1:9" ht="15.75" customHeight="1" x14ac:dyDescent="0.2">
      <c r="A7" s="454" t="s">
        <v>2</v>
      </c>
      <c r="B7" s="455"/>
      <c r="C7" s="455"/>
      <c r="D7" s="455"/>
      <c r="E7" s="455"/>
      <c r="F7" s="455"/>
      <c r="G7" s="455"/>
      <c r="H7" s="456"/>
      <c r="I7" s="70"/>
    </row>
    <row r="8" spans="1:9" x14ac:dyDescent="0.2">
      <c r="A8" s="457" t="s">
        <v>180</v>
      </c>
      <c r="B8" s="458"/>
      <c r="C8" s="458"/>
      <c r="D8" s="458"/>
      <c r="E8" s="458"/>
      <c r="F8" s="459"/>
      <c r="G8" s="447" t="s">
        <v>181</v>
      </c>
      <c r="H8" s="464" t="s">
        <v>581</v>
      </c>
      <c r="I8" s="213"/>
    </row>
    <row r="9" spans="1:9" x14ac:dyDescent="0.2">
      <c r="A9" s="460"/>
      <c r="B9" s="461"/>
      <c r="C9" s="461"/>
      <c r="D9" s="461"/>
      <c r="E9" s="461"/>
      <c r="F9" s="462"/>
      <c r="G9" s="463"/>
      <c r="H9" s="465"/>
      <c r="I9" s="213"/>
    </row>
    <row r="10" spans="1:9" ht="30.75" customHeight="1" x14ac:dyDescent="0.2">
      <c r="A10" s="466" t="s">
        <v>183</v>
      </c>
      <c r="B10" s="467"/>
      <c r="C10" s="468" t="s">
        <v>184</v>
      </c>
      <c r="D10" s="468"/>
      <c r="E10" s="468" t="s">
        <v>597</v>
      </c>
      <c r="F10" s="469"/>
      <c r="G10" s="214" t="s">
        <v>186</v>
      </c>
      <c r="H10" s="190">
        <v>46079</v>
      </c>
      <c r="I10" s="215"/>
    </row>
    <row r="11" spans="1:9" ht="15.75" x14ac:dyDescent="0.25">
      <c r="A11" s="470" t="s">
        <v>187</v>
      </c>
      <c r="B11" s="471"/>
      <c r="C11" s="527" t="s">
        <v>39</v>
      </c>
      <c r="D11" s="474"/>
      <c r="E11" s="474"/>
      <c r="F11" s="464"/>
      <c r="G11" s="447" t="s">
        <v>188</v>
      </c>
      <c r="H11" s="234" t="s">
        <v>598</v>
      </c>
    </row>
    <row r="12" spans="1:9" ht="15.75" customHeight="1" x14ac:dyDescent="0.2">
      <c r="A12" s="472"/>
      <c r="B12" s="473"/>
      <c r="C12" s="475"/>
      <c r="D12" s="475"/>
      <c r="E12" s="475"/>
      <c r="F12" s="465"/>
      <c r="G12" s="448"/>
      <c r="H12" s="235" t="s">
        <v>599</v>
      </c>
      <c r="I12" s="216"/>
    </row>
    <row r="13" spans="1:9" ht="15.75" x14ac:dyDescent="0.25">
      <c r="A13" s="477" t="s">
        <v>189</v>
      </c>
      <c r="B13" s="478"/>
      <c r="C13" s="478"/>
      <c r="D13" s="478"/>
      <c r="E13" s="478"/>
      <c r="F13" s="478"/>
      <c r="G13" s="479" t="s">
        <v>190</v>
      </c>
      <c r="H13" s="480"/>
      <c r="I13" s="217"/>
    </row>
    <row r="14" spans="1:9" x14ac:dyDescent="0.2">
      <c r="A14" s="184"/>
      <c r="B14" s="223"/>
      <c r="C14" s="223"/>
      <c r="D14" s="223"/>
      <c r="E14" s="223"/>
      <c r="F14" s="191"/>
      <c r="G14" s="184"/>
      <c r="H14" s="186"/>
      <c r="I14" s="187"/>
    </row>
    <row r="15" spans="1:9" x14ac:dyDescent="0.2">
      <c r="A15" s="222"/>
      <c r="B15" s="220"/>
      <c r="C15" s="220"/>
      <c r="D15" s="220"/>
      <c r="E15" s="220"/>
      <c r="F15" s="221"/>
      <c r="G15" s="187"/>
      <c r="H15" s="188"/>
    </row>
    <row r="16" spans="1:9" x14ac:dyDescent="0.2">
      <c r="A16" s="218" t="s">
        <v>600</v>
      </c>
      <c r="B16" s="220"/>
      <c r="C16" s="220"/>
      <c r="D16" s="220"/>
      <c r="E16" s="220"/>
      <c r="F16" s="221"/>
      <c r="G16" s="187"/>
      <c r="H16" s="188"/>
    </row>
    <row r="17" spans="1:10" ht="15.75" x14ac:dyDescent="0.2">
      <c r="A17" s="218" t="s">
        <v>601</v>
      </c>
      <c r="B17" s="70"/>
      <c r="C17" s="70"/>
      <c r="D17" s="70"/>
      <c r="E17" s="70"/>
      <c r="F17" s="219"/>
      <c r="G17" s="224"/>
      <c r="H17" s="225">
        <v>10191.73</v>
      </c>
    </row>
    <row r="18" spans="1:10" x14ac:dyDescent="0.2">
      <c r="A18" s="272" t="s">
        <v>602</v>
      </c>
      <c r="B18" s="70"/>
      <c r="C18" s="70"/>
      <c r="D18" s="70"/>
      <c r="E18" s="70"/>
      <c r="F18" s="219"/>
      <c r="G18" s="187"/>
      <c r="H18" s="188"/>
    </row>
    <row r="19" spans="1:10" x14ac:dyDescent="0.2">
      <c r="A19" s="272" t="s">
        <v>603</v>
      </c>
      <c r="F19" s="188"/>
      <c r="G19" s="187"/>
      <c r="H19" s="188"/>
    </row>
    <row r="20" spans="1:10" x14ac:dyDescent="0.2">
      <c r="A20" s="272"/>
      <c r="F20" s="188"/>
      <c r="G20" s="187"/>
      <c r="H20" s="188"/>
    </row>
    <row r="21" spans="1:10" x14ac:dyDescent="0.2">
      <c r="A21" s="272"/>
      <c r="F21" s="188"/>
      <c r="G21" s="187"/>
      <c r="H21" s="188"/>
    </row>
    <row r="22" spans="1:10" x14ac:dyDescent="0.2">
      <c r="A22" s="272"/>
      <c r="F22" s="188"/>
      <c r="G22" s="187"/>
      <c r="H22" s="188"/>
    </row>
    <row r="23" spans="1:10" x14ac:dyDescent="0.2">
      <c r="A23" s="192"/>
      <c r="B23" s="193"/>
      <c r="C23" s="193"/>
      <c r="D23" s="193"/>
      <c r="E23" s="193"/>
      <c r="F23" s="194"/>
      <c r="G23" s="192"/>
      <c r="H23" s="194"/>
    </row>
    <row r="24" spans="1:10" x14ac:dyDescent="0.2">
      <c r="A24" s="192"/>
      <c r="B24" s="193"/>
      <c r="C24" s="193"/>
      <c r="D24" s="193"/>
      <c r="E24" s="193"/>
      <c r="F24" s="193"/>
      <c r="G24" s="193"/>
      <c r="H24" s="194"/>
    </row>
    <row r="25" spans="1:10" ht="15.75" x14ac:dyDescent="0.25">
      <c r="A25" s="477" t="s">
        <v>191</v>
      </c>
      <c r="B25" s="481"/>
      <c r="C25" s="481"/>
      <c r="D25" s="481"/>
      <c r="E25" s="480"/>
      <c r="F25" s="482" t="s">
        <v>192</v>
      </c>
      <c r="G25" s="483"/>
      <c r="H25" s="195" t="s">
        <v>193</v>
      </c>
    </row>
    <row r="26" spans="1:10" x14ac:dyDescent="0.2">
      <c r="A26" s="226" t="s">
        <v>604</v>
      </c>
      <c r="B26" s="197"/>
      <c r="C26" s="197"/>
      <c r="D26" s="197"/>
      <c r="E26" s="197"/>
      <c r="F26" s="484">
        <v>10191.73</v>
      </c>
      <c r="G26" s="484"/>
      <c r="H26" s="401"/>
      <c r="J26" s="41" t="s">
        <v>196</v>
      </c>
    </row>
    <row r="27" spans="1:10" x14ac:dyDescent="0.2">
      <c r="A27" s="226"/>
      <c r="B27" s="70" t="s">
        <v>41</v>
      </c>
      <c r="C27" s="197"/>
      <c r="D27" s="197"/>
      <c r="E27" s="197"/>
      <c r="F27" s="484"/>
      <c r="G27" s="484"/>
      <c r="H27" s="230">
        <f>SUM(F26)</f>
        <v>10191.73</v>
      </c>
    </row>
    <row r="28" spans="1:10" x14ac:dyDescent="0.2">
      <c r="A28" s="226"/>
      <c r="B28" s="197"/>
      <c r="C28" s="197"/>
      <c r="D28" s="197"/>
      <c r="E28" s="197"/>
      <c r="F28" s="484"/>
      <c r="G28" s="484"/>
      <c r="H28" s="227"/>
    </row>
    <row r="29" spans="1:10" x14ac:dyDescent="0.2">
      <c r="A29" s="226"/>
      <c r="C29" s="197"/>
      <c r="D29" s="197"/>
      <c r="E29" s="197"/>
      <c r="F29" s="484"/>
      <c r="G29" s="484"/>
      <c r="H29" s="227"/>
    </row>
    <row r="30" spans="1:10" x14ac:dyDescent="0.2">
      <c r="A30" s="196"/>
      <c r="B30" s="231"/>
      <c r="C30" s="197"/>
      <c r="D30" s="197"/>
      <c r="E30" s="199"/>
      <c r="F30" s="486"/>
      <c r="G30" s="486"/>
      <c r="H30" s="294"/>
    </row>
    <row r="31" spans="1:10" x14ac:dyDescent="0.2">
      <c r="A31" s="192"/>
      <c r="B31" s="193"/>
      <c r="C31" s="193"/>
      <c r="D31" s="193"/>
      <c r="E31" s="193"/>
      <c r="F31" s="476"/>
      <c r="G31" s="476"/>
      <c r="H31" s="198"/>
    </row>
    <row r="32" spans="1:10" ht="15.75" x14ac:dyDescent="0.25">
      <c r="A32" s="200" t="s">
        <v>12</v>
      </c>
      <c r="B32" s="201"/>
      <c r="C32" s="201"/>
      <c r="D32" s="202"/>
      <c r="E32" s="200" t="s">
        <v>13</v>
      </c>
      <c r="F32" s="201"/>
      <c r="G32" s="202"/>
      <c r="H32" s="203" t="s">
        <v>14</v>
      </c>
    </row>
    <row r="33" spans="1:8" x14ac:dyDescent="0.2">
      <c r="A33" s="187"/>
      <c r="D33" s="188"/>
      <c r="E33" s="187"/>
      <c r="G33" s="188"/>
      <c r="H33" s="204"/>
    </row>
    <row r="34" spans="1:8" x14ac:dyDescent="0.2">
      <c r="A34" s="187"/>
      <c r="D34" s="188"/>
      <c r="E34" s="187"/>
      <c r="G34" s="188"/>
      <c r="H34" s="204"/>
    </row>
    <row r="35" spans="1:8" x14ac:dyDescent="0.2">
      <c r="A35" s="232" t="s">
        <v>15</v>
      </c>
      <c r="B35" s="205"/>
      <c r="C35" s="205"/>
      <c r="D35" s="206"/>
      <c r="E35" s="487" t="s">
        <v>5</v>
      </c>
      <c r="F35" s="488"/>
      <c r="G35" s="489"/>
      <c r="H35" s="233" t="s">
        <v>16</v>
      </c>
    </row>
    <row r="36" spans="1:8" x14ac:dyDescent="0.2">
      <c r="A36" s="454" t="s">
        <v>17</v>
      </c>
      <c r="B36" s="455"/>
      <c r="C36" s="455"/>
      <c r="D36" s="456"/>
      <c r="E36" s="454" t="s">
        <v>18</v>
      </c>
      <c r="F36" s="455"/>
      <c r="G36" s="456"/>
      <c r="H36" s="207" t="s">
        <v>19</v>
      </c>
    </row>
    <row r="37" spans="1:8" ht="15.75" customHeight="1" x14ac:dyDescent="0.2">
      <c r="A37" s="497" t="s">
        <v>203</v>
      </c>
      <c r="B37" s="495"/>
      <c r="C37" s="495"/>
      <c r="D37" s="495"/>
      <c r="E37" s="495"/>
      <c r="F37" s="495" t="s">
        <v>20</v>
      </c>
      <c r="G37" s="495"/>
      <c r="H37" s="496"/>
    </row>
    <row r="38" spans="1:8" x14ac:dyDescent="0.2">
      <c r="A38" s="187"/>
      <c r="H38" s="188"/>
    </row>
    <row r="39" spans="1:8" x14ac:dyDescent="0.2">
      <c r="A39" s="187"/>
      <c r="H39" s="188"/>
    </row>
    <row r="40" spans="1:8" ht="15.75" customHeight="1" x14ac:dyDescent="0.2">
      <c r="A40" s="490" t="s">
        <v>21</v>
      </c>
      <c r="B40" s="491"/>
      <c r="C40" s="491"/>
      <c r="D40" s="491"/>
      <c r="E40" s="491"/>
      <c r="F40" s="491" t="s">
        <v>22</v>
      </c>
      <c r="G40" s="491"/>
      <c r="H40" s="492"/>
    </row>
    <row r="41" spans="1:8" ht="15.75" customHeight="1" x14ac:dyDescent="0.2">
      <c r="A41" s="454" t="s">
        <v>23</v>
      </c>
      <c r="B41" s="455"/>
      <c r="C41" s="455"/>
      <c r="D41" s="455"/>
      <c r="E41" s="455"/>
      <c r="F41" s="455" t="s">
        <v>24</v>
      </c>
      <c r="G41" s="455"/>
      <c r="H41" s="456"/>
    </row>
    <row r="42" spans="1:8" x14ac:dyDescent="0.2">
      <c r="A42" s="208" t="s">
        <v>605</v>
      </c>
      <c r="B42" s="185"/>
      <c r="C42" s="185"/>
      <c r="D42" s="185"/>
      <c r="E42" s="185"/>
      <c r="F42" s="185"/>
      <c r="G42" s="185"/>
      <c r="H42" s="186"/>
    </row>
    <row r="43" spans="1:8" x14ac:dyDescent="0.2">
      <c r="A43" s="237" t="s">
        <v>606</v>
      </c>
      <c r="G43" s="209" t="s">
        <v>195</v>
      </c>
      <c r="H43" s="238"/>
    </row>
    <row r="44" spans="1:8" x14ac:dyDescent="0.2">
      <c r="A44" s="210"/>
      <c r="G44" s="209" t="s">
        <v>186</v>
      </c>
      <c r="H44" s="188"/>
    </row>
    <row r="45" spans="1:8" x14ac:dyDescent="0.2">
      <c r="A45" s="187"/>
      <c r="H45" s="188"/>
    </row>
    <row r="46" spans="1:8" x14ac:dyDescent="0.2">
      <c r="A46" s="187"/>
      <c r="H46" s="188"/>
    </row>
    <row r="47" spans="1:8" ht="15.75" thickBot="1" x14ac:dyDescent="0.25">
      <c r="A47" s="187"/>
      <c r="G47" s="211"/>
      <c r="H47" s="212"/>
    </row>
    <row r="48" spans="1:8" x14ac:dyDescent="0.2">
      <c r="A48" s="192"/>
      <c r="B48" s="193"/>
      <c r="C48" s="193"/>
      <c r="D48" s="193"/>
      <c r="E48" s="193"/>
      <c r="F48" s="193"/>
      <c r="G48" s="498" t="s">
        <v>26</v>
      </c>
      <c r="H48" s="499"/>
    </row>
    <row r="49" spans="1:1" x14ac:dyDescent="0.2">
      <c r="A49" s="275"/>
    </row>
  </sheetData>
  <mergeCells count="32">
    <mergeCell ref="G48:H48"/>
    <mergeCell ref="A37:E37"/>
    <mergeCell ref="F37:H37"/>
    <mergeCell ref="A40:E40"/>
    <mergeCell ref="F40:H40"/>
    <mergeCell ref="A41:E41"/>
    <mergeCell ref="F41:H41"/>
    <mergeCell ref="A36:D36"/>
    <mergeCell ref="E36:G36"/>
    <mergeCell ref="A13:F13"/>
    <mergeCell ref="G13:H13"/>
    <mergeCell ref="A25:E25"/>
    <mergeCell ref="F25:G25"/>
    <mergeCell ref="F26:G26"/>
    <mergeCell ref="F27:G27"/>
    <mergeCell ref="F28:G28"/>
    <mergeCell ref="F29:G29"/>
    <mergeCell ref="F30:G30"/>
    <mergeCell ref="F31:G31"/>
    <mergeCell ref="E35:G35"/>
    <mergeCell ref="G11:G12"/>
    <mergeCell ref="A5:H5"/>
    <mergeCell ref="A6:H6"/>
    <mergeCell ref="A7:H7"/>
    <mergeCell ref="A8:F9"/>
    <mergeCell ref="G8:G9"/>
    <mergeCell ref="H8:H9"/>
    <mergeCell ref="A10:B10"/>
    <mergeCell ref="C10:D10"/>
    <mergeCell ref="E10:F10"/>
    <mergeCell ref="A11:B12"/>
    <mergeCell ref="C11:F12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2449" r:id="rId4" name="Check Box 1">
              <controlPr defaultSize="0" autoFill="0" autoLine="0" autoPict="0">
                <anchor moveWithCells="1">
                  <from>
                    <xdr:col>2</xdr:col>
                    <xdr:colOff>114300</xdr:colOff>
                    <xdr:row>2</xdr:row>
                    <xdr:rowOff>57150</xdr:rowOff>
                  </from>
                  <to>
                    <xdr:col>2</xdr:col>
                    <xdr:colOff>352425</xdr:colOff>
                    <xdr:row>16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51" r:id="rId5" name="Check Box 3">
              <controlPr defaultSize="0" autoFill="0" autoLine="0" autoPict="0">
                <anchor moveWithCells="1">
                  <from>
                    <xdr:col>3</xdr:col>
                    <xdr:colOff>428625</xdr:colOff>
                    <xdr:row>3</xdr:row>
                    <xdr:rowOff>123825</xdr:rowOff>
                  </from>
                  <to>
                    <xdr:col>4</xdr:col>
                    <xdr:colOff>123825</xdr:colOff>
                    <xdr:row>15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7382-A650-4B58-97D4-B39D54AE20DD}">
  <dimension ref="A1:K60"/>
  <sheetViews>
    <sheetView workbookViewId="0">
      <selection activeCell="K20" sqref="K20"/>
    </sheetView>
  </sheetViews>
  <sheetFormatPr defaultRowHeight="15" x14ac:dyDescent="0.25"/>
  <cols>
    <col min="1" max="1" width="34.5703125" style="21" customWidth="1"/>
    <col min="2" max="2" width="16.28515625" style="21" bestFit="1" customWidth="1"/>
    <col min="3" max="3" width="20.85546875" style="402" bestFit="1" customWidth="1"/>
    <col min="4" max="4" width="15.7109375" style="270" bestFit="1" customWidth="1"/>
  </cols>
  <sheetData>
    <row r="1" spans="1:11" x14ac:dyDescent="0.25">
      <c r="A1" s="408"/>
      <c r="B1" s="241"/>
      <c r="C1" s="242"/>
      <c r="D1" s="243"/>
    </row>
    <row r="2" spans="1:11" x14ac:dyDescent="0.25">
      <c r="A2" s="409"/>
      <c r="B2" s="316"/>
      <c r="C2" s="404"/>
      <c r="D2" s="247"/>
    </row>
    <row r="3" spans="1:11" x14ac:dyDescent="0.25">
      <c r="A3" s="409"/>
      <c r="B3" s="316"/>
      <c r="C3" s="404"/>
      <c r="D3" s="247"/>
    </row>
    <row r="4" spans="1:11" x14ac:dyDescent="0.25">
      <c r="A4" s="409"/>
      <c r="B4" s="316"/>
      <c r="C4" s="404"/>
      <c r="D4" s="247"/>
    </row>
    <row r="5" spans="1:11" x14ac:dyDescent="0.25">
      <c r="A5" s="505" t="s">
        <v>0</v>
      </c>
      <c r="B5" s="530"/>
      <c r="C5" s="530"/>
      <c r="D5" s="507"/>
    </row>
    <row r="6" spans="1:11" x14ac:dyDescent="0.25">
      <c r="A6" s="508" t="s">
        <v>52</v>
      </c>
      <c r="B6" s="531"/>
      <c r="C6" s="531"/>
      <c r="D6" s="510"/>
    </row>
    <row r="7" spans="1:11" x14ac:dyDescent="0.25">
      <c r="A7" s="511" t="s">
        <v>2</v>
      </c>
      <c r="B7" s="512"/>
      <c r="C7" s="512"/>
      <c r="D7" s="513"/>
    </row>
    <row r="8" spans="1:11" ht="23.25" x14ac:dyDescent="0.25">
      <c r="A8" s="532" t="s">
        <v>588</v>
      </c>
      <c r="B8" s="533"/>
      <c r="C8" s="533"/>
      <c r="D8" s="534"/>
    </row>
    <row r="9" spans="1:11" ht="15" customHeight="1" x14ac:dyDescent="0.25">
      <c r="A9" s="551" t="s">
        <v>589</v>
      </c>
      <c r="B9" s="552"/>
      <c r="C9" s="552"/>
      <c r="D9" s="553"/>
      <c r="E9" s="310"/>
      <c r="F9" s="310"/>
      <c r="G9" s="310"/>
      <c r="H9" s="310"/>
      <c r="I9" s="310"/>
      <c r="J9" s="310"/>
      <c r="K9" s="310"/>
    </row>
    <row r="10" spans="1:11" s="252" customFormat="1" ht="30.75" customHeight="1" x14ac:dyDescent="0.25">
      <c r="A10" s="312" t="s">
        <v>587</v>
      </c>
      <c r="B10" s="312" t="s">
        <v>590</v>
      </c>
      <c r="C10" s="313" t="s">
        <v>46</v>
      </c>
      <c r="D10" s="314" t="s">
        <v>190</v>
      </c>
    </row>
    <row r="11" spans="1:11" ht="15.75" x14ac:dyDescent="0.25">
      <c r="A11" s="410" t="s">
        <v>48</v>
      </c>
      <c r="B11" s="411" t="s">
        <v>591</v>
      </c>
      <c r="C11" s="407" t="s">
        <v>592</v>
      </c>
      <c r="D11" s="412">
        <v>1195.1199999999999</v>
      </c>
    </row>
    <row r="12" spans="1:11" ht="15.75" x14ac:dyDescent="0.25">
      <c r="A12" s="410" t="s">
        <v>49</v>
      </c>
      <c r="B12" s="411" t="s">
        <v>593</v>
      </c>
      <c r="C12" s="413" t="s">
        <v>594</v>
      </c>
      <c r="D12" s="414">
        <v>7532.66</v>
      </c>
    </row>
    <row r="13" spans="1:11" ht="15.75" x14ac:dyDescent="0.25">
      <c r="A13" s="410" t="s">
        <v>50</v>
      </c>
      <c r="B13" s="411" t="s">
        <v>595</v>
      </c>
      <c r="C13" s="413" t="s">
        <v>596</v>
      </c>
      <c r="D13" s="414">
        <v>1463.95</v>
      </c>
    </row>
    <row r="14" spans="1:11" ht="15.75" x14ac:dyDescent="0.25">
      <c r="A14" s="410"/>
      <c r="B14" s="415"/>
      <c r="C14" s="413"/>
      <c r="D14" s="416"/>
    </row>
    <row r="15" spans="1:11" ht="16.5" thickBot="1" x14ac:dyDescent="0.3">
      <c r="A15" s="410"/>
      <c r="B15" s="415"/>
      <c r="C15" s="395" t="s">
        <v>32</v>
      </c>
      <c r="D15" s="418">
        <f>SUM(D11:D13)</f>
        <v>10191.73</v>
      </c>
    </row>
    <row r="16" spans="1:11" ht="15.75" thickTop="1" x14ac:dyDescent="0.25">
      <c r="A16" s="409"/>
      <c r="B16" s="316"/>
      <c r="C16" s="379"/>
      <c r="D16" s="247"/>
    </row>
    <row r="17" spans="1:4" x14ac:dyDescent="0.25">
      <c r="A17" s="409"/>
      <c r="B17" s="316"/>
      <c r="C17" s="379"/>
      <c r="D17" s="247"/>
    </row>
    <row r="18" spans="1:4" x14ac:dyDescent="0.25">
      <c r="A18" s="409"/>
      <c r="B18" s="316"/>
      <c r="C18" s="379"/>
      <c r="D18" s="247"/>
    </row>
    <row r="19" spans="1:4" x14ac:dyDescent="0.25">
      <c r="A19" s="409"/>
      <c r="B19" s="316"/>
      <c r="C19" s="379"/>
      <c r="D19" s="247"/>
    </row>
    <row r="20" spans="1:4" x14ac:dyDescent="0.25">
      <c r="A20" s="409"/>
      <c r="B20" s="316"/>
      <c r="C20" s="379"/>
      <c r="D20" s="247"/>
    </row>
    <row r="21" spans="1:4" x14ac:dyDescent="0.25">
      <c r="A21" s="409"/>
      <c r="B21" s="316"/>
      <c r="C21" s="404"/>
      <c r="D21" s="247"/>
    </row>
    <row r="22" spans="1:4" x14ac:dyDescent="0.25">
      <c r="A22" s="409"/>
      <c r="B22" s="316"/>
      <c r="C22" s="379"/>
      <c r="D22" s="254"/>
    </row>
    <row r="23" spans="1:4" x14ac:dyDescent="0.25">
      <c r="A23" s="409"/>
      <c r="B23" s="316"/>
      <c r="C23" s="391"/>
      <c r="D23" s="256"/>
    </row>
    <row r="24" spans="1:4" x14ac:dyDescent="0.25">
      <c r="A24" s="409"/>
      <c r="B24" s="316"/>
      <c r="C24" s="391"/>
      <c r="D24" s="256"/>
    </row>
    <row r="25" spans="1:4" x14ac:dyDescent="0.25">
      <c r="A25" s="409"/>
      <c r="B25" s="316"/>
      <c r="C25" s="391"/>
      <c r="D25" s="256"/>
    </row>
    <row r="26" spans="1:4" x14ac:dyDescent="0.25">
      <c r="A26" s="409"/>
      <c r="B26" s="316"/>
      <c r="C26" s="391"/>
      <c r="D26" s="256"/>
    </row>
    <row r="27" spans="1:4" x14ac:dyDescent="0.25">
      <c r="A27" s="409"/>
      <c r="B27" s="316"/>
      <c r="C27" s="391"/>
      <c r="D27" s="256"/>
    </row>
    <row r="28" spans="1:4" x14ac:dyDescent="0.25">
      <c r="A28" s="409"/>
      <c r="B28" s="316"/>
      <c r="C28" s="391"/>
      <c r="D28" s="257"/>
    </row>
    <row r="29" spans="1:4" x14ac:dyDescent="0.25">
      <c r="A29" s="409"/>
      <c r="B29" s="316"/>
      <c r="C29" s="391"/>
      <c r="D29" s="257"/>
    </row>
    <row r="30" spans="1:4" x14ac:dyDescent="0.25">
      <c r="A30" s="409"/>
      <c r="B30" s="316"/>
      <c r="C30" s="391"/>
      <c r="D30" s="257"/>
    </row>
    <row r="31" spans="1:4" x14ac:dyDescent="0.25">
      <c r="A31" s="409"/>
      <c r="B31" s="316"/>
      <c r="C31" s="391"/>
      <c r="D31" s="257"/>
    </row>
    <row r="32" spans="1:4" x14ac:dyDescent="0.25">
      <c r="A32" s="409"/>
      <c r="B32" s="316"/>
      <c r="C32" s="391"/>
      <c r="D32" s="257"/>
    </row>
    <row r="33" spans="1:4" x14ac:dyDescent="0.25">
      <c r="A33" s="409"/>
      <c r="B33" s="316"/>
      <c r="C33" s="391"/>
      <c r="D33" s="257"/>
    </row>
    <row r="34" spans="1:4" x14ac:dyDescent="0.25">
      <c r="A34" s="409"/>
      <c r="B34" s="316"/>
      <c r="C34" s="391"/>
      <c r="D34" s="257"/>
    </row>
    <row r="35" spans="1:4" x14ac:dyDescent="0.25">
      <c r="A35" s="409"/>
      <c r="B35" s="316"/>
      <c r="C35" s="391"/>
      <c r="D35" s="257"/>
    </row>
    <row r="36" spans="1:4" ht="15.75" x14ac:dyDescent="0.25">
      <c r="A36" s="409"/>
      <c r="B36" s="316"/>
      <c r="C36" s="395"/>
      <c r="D36" s="258"/>
    </row>
    <row r="37" spans="1:4" x14ac:dyDescent="0.25">
      <c r="A37" s="409"/>
      <c r="B37" s="316"/>
      <c r="C37" s="404"/>
      <c r="D37" s="247"/>
    </row>
    <row r="38" spans="1:4" x14ac:dyDescent="0.25">
      <c r="A38" s="417"/>
      <c r="B38" s="261"/>
      <c r="C38" s="262"/>
      <c r="D38" s="263"/>
    </row>
    <row r="39" spans="1:4" ht="15.75" x14ac:dyDescent="0.25">
      <c r="A39" s="264" t="s">
        <v>12</v>
      </c>
      <c r="B39" s="201"/>
      <c r="C39" s="266" t="s">
        <v>260</v>
      </c>
      <c r="D39" s="397"/>
    </row>
    <row r="40" spans="1:4" ht="15.75" x14ac:dyDescent="0.25">
      <c r="A40" s="267"/>
      <c r="B40" s="275"/>
      <c r="C40" s="275"/>
      <c r="D40" s="398"/>
    </row>
    <row r="41" spans="1:4" ht="15.75" x14ac:dyDescent="0.25">
      <c r="A41" s="267"/>
      <c r="B41" s="275"/>
      <c r="C41" s="275"/>
      <c r="D41" s="398"/>
    </row>
    <row r="42" spans="1:4" x14ac:dyDescent="0.25">
      <c r="A42" s="520" t="s">
        <v>15</v>
      </c>
      <c r="B42" s="548"/>
      <c r="C42" s="528" t="s">
        <v>5</v>
      </c>
      <c r="D42" s="489"/>
    </row>
    <row r="43" spans="1:4" x14ac:dyDescent="0.25">
      <c r="A43" s="503" t="s">
        <v>17</v>
      </c>
      <c r="B43" s="504"/>
      <c r="C43" s="455" t="s">
        <v>18</v>
      </c>
      <c r="D43" s="456"/>
    </row>
    <row r="44" spans="1:4" x14ac:dyDescent="0.25">
      <c r="A44" s="497" t="s">
        <v>261</v>
      </c>
      <c r="B44" s="495"/>
      <c r="C44" s="495"/>
      <c r="D44" s="406"/>
    </row>
    <row r="45" spans="1:4" ht="15.75" x14ac:dyDescent="0.25">
      <c r="A45" s="267"/>
      <c r="B45" s="275"/>
      <c r="C45" s="275"/>
      <c r="D45" s="398"/>
    </row>
    <row r="46" spans="1:4" ht="15.75" x14ac:dyDescent="0.25">
      <c r="A46" s="267"/>
      <c r="B46" s="275"/>
      <c r="C46" s="275"/>
      <c r="D46" s="398"/>
    </row>
    <row r="47" spans="1:4" x14ac:dyDescent="0.25">
      <c r="A47" s="490" t="s">
        <v>22</v>
      </c>
      <c r="B47" s="529"/>
      <c r="C47" s="529"/>
      <c r="D47" s="492"/>
    </row>
    <row r="48" spans="1:4" x14ac:dyDescent="0.25">
      <c r="A48" s="454" t="s">
        <v>24</v>
      </c>
      <c r="B48" s="455"/>
      <c r="C48" s="455"/>
      <c r="D48" s="456"/>
    </row>
    <row r="53" spans="1:3" x14ac:dyDescent="0.25">
      <c r="A53" s="501"/>
      <c r="B53" s="501"/>
      <c r="C53" s="501"/>
    </row>
    <row r="54" spans="1:3" x14ac:dyDescent="0.25">
      <c r="A54" s="500"/>
      <c r="B54" s="500"/>
      <c r="C54" s="500"/>
    </row>
    <row r="55" spans="1:3" x14ac:dyDescent="0.25">
      <c r="A55" s="403"/>
      <c r="B55" s="403"/>
      <c r="C55" s="253"/>
    </row>
    <row r="59" spans="1:3" x14ac:dyDescent="0.25">
      <c r="A59" s="501"/>
      <c r="B59" s="501"/>
      <c r="C59" s="501"/>
    </row>
    <row r="60" spans="1:3" x14ac:dyDescent="0.25">
      <c r="A60" s="502"/>
      <c r="B60" s="502"/>
      <c r="C60" s="502"/>
    </row>
  </sheetData>
  <mergeCells count="16">
    <mergeCell ref="A54:C54"/>
    <mergeCell ref="A59:C59"/>
    <mergeCell ref="A60:C60"/>
    <mergeCell ref="A5:D5"/>
    <mergeCell ref="A6:D6"/>
    <mergeCell ref="A7:D7"/>
    <mergeCell ref="A8:D8"/>
    <mergeCell ref="A9:D9"/>
    <mergeCell ref="A42:B42"/>
    <mergeCell ref="A47:D47"/>
    <mergeCell ref="A48:D48"/>
    <mergeCell ref="A53:C53"/>
    <mergeCell ref="A43:B43"/>
    <mergeCell ref="C42:D42"/>
    <mergeCell ref="C43:D43"/>
    <mergeCell ref="A44:C44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salary feb 1</vt:lpstr>
      <vt:lpstr>electric</vt:lpstr>
      <vt:lpstr>eb</vt:lpstr>
      <vt:lpstr>pldt</vt:lpstr>
      <vt:lpstr>salary feb 16</vt:lpstr>
      <vt:lpstr>sdd</vt:lpstr>
      <vt:lpstr>prem</vt:lpstr>
      <vt:lpstr>203648</vt:lpstr>
      <vt:lpstr>203649</vt:lpstr>
      <vt:lpstr>203650</vt:lpstr>
      <vt:lpstr>203651</vt:lpstr>
      <vt:lpstr>203652</vt:lpstr>
      <vt:lpstr>203652 - SD</vt:lpstr>
      <vt:lpstr>203653</vt:lpstr>
      <vt:lpstr>203653 NEW</vt:lpstr>
      <vt:lpstr>203654</vt:lpstr>
      <vt:lpstr>203655</vt:lpstr>
      <vt:lpstr>203656</vt:lpstr>
      <vt:lpstr>203656 - SD</vt:lpstr>
      <vt:lpstr>203657</vt:lpstr>
      <vt:lpstr>203658</vt:lpstr>
      <vt:lpstr>203659</vt:lpstr>
      <vt:lpstr>203659 - sd</vt:lpstr>
      <vt:lpstr>203660</vt:lpstr>
      <vt:lpstr>203661</vt:lpstr>
      <vt:lpstr>203662</vt:lpstr>
      <vt:lpstr>203663</vt:lpstr>
      <vt:lpstr>203663 - SD</vt:lpstr>
      <vt:lpstr>203664</vt:lpstr>
      <vt:lpstr>203665</vt:lpstr>
      <vt:lpstr>203665 - SD</vt:lpstr>
      <vt:lpstr>203666</vt:lpstr>
      <vt:lpstr>203667</vt:lpstr>
      <vt:lpstr>203668</vt:lpstr>
      <vt:lpstr>203668 - SD</vt:lpstr>
      <vt:lpstr>203669</vt:lpstr>
      <vt:lpstr>203670</vt:lpstr>
      <vt:lpstr>203671</vt:lpstr>
      <vt:lpstr>203672</vt:lpstr>
      <vt:lpstr>203673</vt:lpstr>
      <vt:lpstr>203673 - sd</vt:lpstr>
      <vt:lpstr>203674</vt:lpstr>
      <vt:lpstr>203675</vt:lpstr>
      <vt:lpstr>203676 - cancelled</vt:lpstr>
      <vt:lpstr>203677</vt:lpstr>
      <vt:lpstr>203677 - SD</vt:lpstr>
      <vt:lpstr>203678</vt:lpstr>
      <vt:lpstr>203679</vt:lpstr>
      <vt:lpstr>203680</vt:lpstr>
      <vt:lpstr>203680 - sd</vt:lpstr>
      <vt:lpstr>203681</vt:lpstr>
      <vt:lpstr>203682</vt:lpstr>
      <vt:lpstr>203683</vt:lpstr>
      <vt:lpstr>203683 - sd</vt:lpstr>
      <vt:lpstr>203684</vt:lpstr>
      <vt:lpstr>203685 - cancelled</vt:lpstr>
      <vt:lpstr>203685</vt:lpstr>
      <vt:lpstr>203685 - 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2026-02-26T01:46:22Z</cp:lastPrinted>
  <dcterms:created xsi:type="dcterms:W3CDTF">2026-01-05T02:42:27Z</dcterms:created>
  <dcterms:modified xsi:type="dcterms:W3CDTF">2026-03-26T01:07:08Z</dcterms:modified>
</cp:coreProperties>
</file>